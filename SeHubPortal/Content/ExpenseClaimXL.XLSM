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ordan\Desktop\"/>
    </mc:Choice>
  </mc:AlternateContent>
  <bookViews>
    <workbookView xWindow="0" yWindow="0" windowWidth="28800" windowHeight="12440"/>
  </bookViews>
  <sheets>
    <sheet name="Form" sheetId="1" r:id="rId1"/>
    <sheet name="Summary" sheetId="3" r:id="rId2"/>
  </sheets>
  <definedNames>
    <definedName name="Account_Description">Form!$P$12:$P$43</definedName>
    <definedName name="Account_Number">Form!$O$16:$O$47</definedName>
    <definedName name="Names">#REF!</definedName>
    <definedName name="Numbers">#REF!</definedName>
    <definedName name="_xlnm.Print_Area" localSheetId="0">Form!$A$1:$M$53</definedName>
    <definedName name="_xlnm.Print_Area" localSheetId="1">Summary!$A$1:$J$52</definedName>
  </definedNames>
  <calcPr calcId="162913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3" i="1" l="1"/>
  <c r="H24" i="1"/>
  <c r="H34" i="1" l="1"/>
  <c r="H22" i="1"/>
  <c r="H25" i="1"/>
  <c r="H26" i="1"/>
  <c r="H27" i="1"/>
  <c r="H28" i="1"/>
  <c r="H29" i="1"/>
  <c r="H30" i="1"/>
  <c r="H31" i="1"/>
  <c r="H32" i="1"/>
  <c r="H33" i="1"/>
  <c r="J44" i="1" l="1"/>
  <c r="J45" i="1"/>
  <c r="J46" i="1"/>
  <c r="J47" i="1"/>
  <c r="J48" i="1"/>
  <c r="J49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16" i="1"/>
  <c r="H38" i="1" l="1"/>
  <c r="H21" i="1" l="1"/>
  <c r="H35" i="1" l="1"/>
  <c r="H37" i="1"/>
  <c r="H20" i="1" l="1"/>
  <c r="H19" i="1"/>
  <c r="H18" i="1"/>
  <c r="H41" i="1" l="1"/>
  <c r="H40" i="1"/>
  <c r="H39" i="1"/>
  <c r="H46" i="1"/>
  <c r="H45" i="1"/>
  <c r="H44" i="1"/>
  <c r="H43" i="1"/>
  <c r="H42" i="1"/>
  <c r="H17" i="1" l="1"/>
  <c r="H36" i="1"/>
  <c r="H47" i="1"/>
  <c r="H48" i="1"/>
  <c r="H49" i="1"/>
  <c r="H16" i="1"/>
  <c r="G52" i="1" l="1"/>
  <c r="D15" i="3" s="1"/>
  <c r="L51" i="1" l="1"/>
  <c r="G23" i="3" l="1"/>
  <c r="L17" i="1" l="1"/>
  <c r="K17" i="1" s="1"/>
  <c r="L23" i="1"/>
  <c r="K23" i="1" s="1"/>
  <c r="L24" i="1"/>
  <c r="K24" i="1" s="1"/>
  <c r="L25" i="1"/>
  <c r="K25" i="1" s="1"/>
  <c r="L26" i="1"/>
  <c r="K26" i="1" s="1"/>
  <c r="L31" i="1"/>
  <c r="K31" i="1" s="1"/>
  <c r="L32" i="1"/>
  <c r="K32" i="1" s="1"/>
  <c r="L33" i="1"/>
  <c r="K33" i="1" s="1"/>
  <c r="L39" i="1"/>
  <c r="K39" i="1" s="1"/>
  <c r="L40" i="1"/>
  <c r="K40" i="1" s="1"/>
  <c r="L41" i="1"/>
  <c r="K41" i="1" s="1"/>
  <c r="L48" i="1"/>
  <c r="K48" i="1" s="1"/>
  <c r="K49" i="1"/>
  <c r="L19" i="1"/>
  <c r="K19" i="1" s="1"/>
  <c r="L27" i="1"/>
  <c r="K27" i="1" s="1"/>
  <c r="L28" i="1"/>
  <c r="K28" i="1" s="1"/>
  <c r="L29" i="1"/>
  <c r="K29" i="1" s="1"/>
  <c r="L30" i="1"/>
  <c r="K30" i="1" s="1"/>
  <c r="L34" i="1"/>
  <c r="K34" i="1" s="1"/>
  <c r="L38" i="1"/>
  <c r="K38" i="1" s="1"/>
  <c r="L46" i="1"/>
  <c r="K46" i="1" s="1"/>
  <c r="L47" i="1"/>
  <c r="K47" i="1" s="1"/>
  <c r="L49" i="1"/>
  <c r="L18" i="1"/>
  <c r="K18" i="1" s="1"/>
  <c r="L20" i="1"/>
  <c r="K20" i="1" s="1"/>
  <c r="L21" i="1"/>
  <c r="K21" i="1" s="1"/>
  <c r="L22" i="1"/>
  <c r="K22" i="1" s="1"/>
  <c r="L35" i="1"/>
  <c r="K35" i="1" s="1"/>
  <c r="L36" i="1"/>
  <c r="K36" i="1" s="1"/>
  <c r="L37" i="1"/>
  <c r="K37" i="1" s="1"/>
  <c r="L42" i="1"/>
  <c r="K42" i="1" s="1"/>
  <c r="L43" i="1"/>
  <c r="K43" i="1" s="1"/>
  <c r="L44" i="1"/>
  <c r="K44" i="1" s="1"/>
  <c r="L45" i="1"/>
  <c r="K45" i="1" s="1"/>
  <c r="L16" i="1" l="1"/>
  <c r="K16" i="1" s="1"/>
  <c r="H52" i="1"/>
  <c r="K50" i="1" l="1"/>
  <c r="K52" i="1" s="1"/>
</calcChain>
</file>

<file path=xl/sharedStrings.xml><?xml version="1.0" encoding="utf-8"?>
<sst xmlns="http://schemas.openxmlformats.org/spreadsheetml/2006/main" count="62" uniqueCount="59">
  <si>
    <t>HST</t>
  </si>
  <si>
    <t>TOTAL</t>
  </si>
  <si>
    <t>Date</t>
  </si>
  <si>
    <t>Supplier's Name</t>
  </si>
  <si>
    <t>Expense Account</t>
  </si>
  <si>
    <t>Description of Expense</t>
  </si>
  <si>
    <t>Amount</t>
  </si>
  <si>
    <t>Hst</t>
  </si>
  <si>
    <t>Account Number</t>
  </si>
  <si>
    <t>R&amp;M Vehicles</t>
  </si>
  <si>
    <t>R&amp;M Equipment</t>
  </si>
  <si>
    <t>R&amp;M Building</t>
  </si>
  <si>
    <t>Clean BLDG/LOT/Garbage Disposal</t>
  </si>
  <si>
    <t>Vehicle - Operating</t>
  </si>
  <si>
    <t>Shop Supplies</t>
  </si>
  <si>
    <t>Shop Tools</t>
  </si>
  <si>
    <t>Telephone &amp; Communications</t>
  </si>
  <si>
    <t>Laundry &amp; Uninforms</t>
  </si>
  <si>
    <t>Advertising and Publicity</t>
  </si>
  <si>
    <t>Warehouse Lease</t>
  </si>
  <si>
    <t>Entertainment</t>
  </si>
  <si>
    <t>Fees &amp; Memberships</t>
  </si>
  <si>
    <t>Training</t>
  </si>
  <si>
    <t>Travel</t>
  </si>
  <si>
    <t>Freight</t>
  </si>
  <si>
    <t>Office Supplies</t>
  </si>
  <si>
    <t>Miscellaneous</t>
  </si>
  <si>
    <t>Miscellaneous F/U</t>
  </si>
  <si>
    <t>GL Account</t>
  </si>
  <si>
    <t>SUMMARY</t>
  </si>
  <si>
    <t>Employee Name</t>
  </si>
  <si>
    <t>Employee Signature</t>
  </si>
  <si>
    <t>Approval</t>
  </si>
  <si>
    <t>Expense Claim - Summary</t>
  </si>
  <si>
    <t xml:space="preserve">Expense Claim - Transaction Details </t>
  </si>
  <si>
    <t>Paid by Cheque Number</t>
  </si>
  <si>
    <t>Cheque Date</t>
  </si>
  <si>
    <t>`</t>
  </si>
  <si>
    <t>Inventory</t>
  </si>
  <si>
    <t>Accounts Payable</t>
  </si>
  <si>
    <t>Location ID</t>
  </si>
  <si>
    <t>Tax &amp; Licenses</t>
  </si>
  <si>
    <t>Worker's Compensation</t>
  </si>
  <si>
    <t>Insurance</t>
  </si>
  <si>
    <t>Interest &amp; Bank Charges</t>
  </si>
  <si>
    <t>Utilities</t>
  </si>
  <si>
    <t>Security</t>
  </si>
  <si>
    <t>Professional Fees</t>
  </si>
  <si>
    <t>Property Lease</t>
  </si>
  <si>
    <t>Postage</t>
  </si>
  <si>
    <t>Office Equipment Lease &amp; Maintenance</t>
  </si>
  <si>
    <t>000-100420</t>
  </si>
  <si>
    <t>Total</t>
  </si>
  <si>
    <t>__________________</t>
  </si>
  <si>
    <t>Non-Inventory Item for Resale</t>
  </si>
  <si>
    <t>Account Description</t>
  </si>
  <si>
    <t>Row Labels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</si>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</sst>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&quot;$&quot;* #,##0.00_-;\-&quot;$&quot;* #,##0.00_-;_-&quot;$&quot;* &quot;-&quot;??_-;_-@_-"/>
    <numFmt numFmtId="165" formatCode="[$-1009]d/mmm/yy;@"/>
    <numFmt numFmtId="166" formatCode="[$-409]mmmm\ d\,\ yyyy;@"/>
    <numFmt numFmtId="167" formatCode="&quot;$&quot;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2"/>
      <color theme="1"/>
      <name val="Tahoma"/>
      <family val="2"/>
    </font>
    <font>
      <sz val="18"/>
      <color theme="1"/>
      <name val="Tahoma"/>
      <family val="2"/>
    </font>
    <font>
      <b/>
      <sz val="16"/>
      <color theme="1"/>
      <name val="Tahoma"/>
      <family val="2"/>
    </font>
    <font>
      <b/>
      <sz val="26"/>
      <color theme="1"/>
      <name val="Tahoma"/>
      <family val="2"/>
    </font>
    <font>
      <b/>
      <sz val="28"/>
      <color theme="1"/>
      <name val="Tahoma"/>
      <family val="2"/>
    </font>
    <font>
      <b/>
      <i/>
      <sz val="12"/>
      <color theme="1"/>
      <name val="Tahoma"/>
      <family val="2"/>
    </font>
    <font>
      <sz val="12"/>
      <color theme="1"/>
      <name val="Tahoma"/>
      <family val="2"/>
    </font>
    <font>
      <sz val="14"/>
      <color theme="1"/>
      <name val="Tahoma"/>
      <family val="2"/>
    </font>
    <font>
      <b/>
      <i/>
      <sz val="14"/>
      <color theme="1"/>
      <name val="Tahoma"/>
      <family val="2"/>
    </font>
    <font>
      <b/>
      <sz val="16"/>
      <color rgb="FF000000"/>
      <name val="Tahoma"/>
      <family val="2"/>
    </font>
    <font>
      <sz val="11"/>
      <color theme="1"/>
      <name val="Tahoma"/>
      <family val="2"/>
    </font>
    <font>
      <b/>
      <sz val="12"/>
      <color theme="1"/>
      <name val="Tahoma"/>
      <family val="2"/>
    </font>
    <font>
      <b/>
      <sz val="11"/>
      <color theme="1"/>
      <name val="Tahoma"/>
      <family val="2"/>
    </font>
    <font>
      <b/>
      <sz val="28"/>
      <color theme="1"/>
      <name val="Tahoma"/>
      <family val="2"/>
    </font>
    <font>
      <b/>
      <sz val="26"/>
      <color theme="1"/>
      <name val="Tahoma"/>
      <family val="2"/>
    </font>
    <font>
      <sz val="14"/>
      <color theme="1"/>
      <name val="Tahoma"/>
      <family val="2"/>
    </font>
    <font>
      <b/>
      <i/>
      <sz val="14"/>
      <color theme="1"/>
      <name val="Tahoma"/>
      <family val="2"/>
    </font>
    <font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1"/>
      <color theme="1"/>
      <name val="Calibri"/>
      <family val="2"/>
      <scheme val="minor"/>
    </font>
    <font>
      <sz val="18"/>
      <color theme="1"/>
      <name val="Tahoma"/>
      <family val="2"/>
    </font>
    <font>
      <b/>
      <sz val="16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3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Fill="1" applyAlignment="1" applyProtection="1">
      <alignment wrapText="1" shrinkToFit="1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left" wrapText="1" shrinkToFit="1"/>
      <protection locked="0"/>
    </xf>
    <xf numFmtId="0" fontId="2" fillId="0" borderId="0" xfId="0" applyFont="1" applyFill="1" applyBorder="1" applyAlignment="1" applyProtection="1">
      <alignment wrapText="1" shrinkToFit="1"/>
      <protection locked="0"/>
    </xf>
    <xf numFmtId="0" fontId="4" fillId="0" borderId="0" xfId="0" applyFont="1" applyBorder="1" applyProtection="1">
      <protection locked="0"/>
    </xf>
    <xf numFmtId="0" fontId="2" fillId="0" borderId="0" xfId="0" applyFont="1" applyAlignment="1" applyProtection="1"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2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protection locked="0"/>
    </xf>
    <xf numFmtId="0" fontId="2" fillId="0" borderId="0" xfId="0" applyFont="1" applyFill="1" applyBorder="1" applyAlignment="1" applyProtection="1">
      <alignment vertical="top" wrapText="1" shrinkToFit="1"/>
      <protection locked="0"/>
    </xf>
    <xf numFmtId="164" fontId="8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protection locked="0"/>
    </xf>
    <xf numFmtId="0" fontId="2" fillId="3" borderId="0" xfId="0" applyFont="1" applyFill="1" applyBorder="1" applyAlignment="1" applyProtection="1">
      <protection locked="0"/>
    </xf>
    <xf numFmtId="164" fontId="3" fillId="5" borderId="0" xfId="1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horizontal="right" indent="1"/>
      <protection locked="0"/>
    </xf>
    <xf numFmtId="0" fontId="13" fillId="0" borderId="0" xfId="0" applyFont="1" applyBorder="1" applyProtection="1"/>
    <xf numFmtId="0" fontId="13" fillId="0" borderId="0" xfId="0" applyFont="1" applyProtection="1"/>
    <xf numFmtId="0" fontId="15" fillId="0" borderId="0" xfId="0" applyFont="1" applyBorder="1" applyAlignment="1" applyProtection="1">
      <alignment horizontal="right" indent="1"/>
    </xf>
    <xf numFmtId="0" fontId="16" fillId="0" borderId="0" xfId="0" applyFont="1" applyBorder="1" applyAlignment="1" applyProtection="1"/>
    <xf numFmtId="0" fontId="18" fillId="0" borderId="0" xfId="0" applyFont="1" applyBorder="1" applyAlignment="1" applyProtection="1">
      <alignment horizontal="center"/>
    </xf>
    <xf numFmtId="0" fontId="19" fillId="2" borderId="1" xfId="0" applyFont="1" applyFill="1" applyBorder="1" applyAlignment="1" applyProtection="1">
      <alignment horizontal="center"/>
    </xf>
    <xf numFmtId="0" fontId="18" fillId="0" borderId="0" xfId="0" applyFont="1" applyAlignment="1" applyProtection="1">
      <alignment horizontal="center"/>
    </xf>
    <xf numFmtId="0" fontId="19" fillId="4" borderId="1" xfId="0" applyFont="1" applyFill="1" applyBorder="1" applyAlignment="1" applyProtection="1">
      <alignment horizontal="center"/>
    </xf>
    <xf numFmtId="0" fontId="20" fillId="0" borderId="0" xfId="0" applyFont="1" applyProtection="1"/>
    <xf numFmtId="165" fontId="13" fillId="0" borderId="0" xfId="0" applyNumberFormat="1" applyFont="1" applyBorder="1" applyAlignment="1" applyProtection="1">
      <alignment horizontal="center"/>
      <protection locked="0"/>
    </xf>
    <xf numFmtId="16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Fill="1" applyBorder="1" applyAlignment="1" applyProtection="1">
      <alignment horizontal="left" wrapText="1" shrinkToFit="1"/>
      <protection locked="0"/>
    </xf>
    <xf numFmtId="49" fontId="21" fillId="0" borderId="1" xfId="0" applyNumberFormat="1" applyFont="1" applyFill="1" applyBorder="1" applyAlignment="1" applyProtection="1">
      <alignment horizontal="center" wrapText="1" shrinkToFit="1"/>
      <protection locked="0"/>
    </xf>
    <xf numFmtId="164" fontId="21" fillId="0" borderId="1" xfId="1" applyNumberFormat="1" applyFont="1" applyFill="1" applyBorder="1" applyAlignment="1" applyProtection="1">
      <alignment horizontal="right" wrapText="1" shrinkToFit="1"/>
      <protection locked="0"/>
    </xf>
    <xf numFmtId="0" fontId="21" fillId="0" borderId="0" xfId="0" applyFont="1" applyProtection="1"/>
    <xf numFmtId="0" fontId="21" fillId="2" borderId="1" xfId="0" applyNumberFormat="1" applyFont="1" applyFill="1" applyBorder="1" applyAlignment="1" applyProtection="1">
      <alignment horizontal="center" wrapText="1" shrinkToFit="1"/>
    </xf>
    <xf numFmtId="164" fontId="21" fillId="2" borderId="1" xfId="1" applyNumberFormat="1" applyFont="1" applyFill="1" applyBorder="1" applyAlignment="1" applyProtection="1">
      <alignment horizontal="right" wrapText="1" shrinkToFit="1"/>
    </xf>
    <xf numFmtId="0" fontId="22" fillId="0" borderId="0" xfId="0" applyFont="1" applyProtection="1"/>
    <xf numFmtId="0" fontId="13" fillId="0" borderId="0" xfId="0" applyNumberFormat="1" applyFont="1" applyBorder="1" applyAlignment="1" applyProtection="1">
      <alignment horizontal="center"/>
      <protection locked="0"/>
    </xf>
    <xf numFmtId="165" fontId="13" fillId="0" borderId="0" xfId="0" applyNumberFormat="1" applyFont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wrapText="1" shrinkToFit="1"/>
    </xf>
    <xf numFmtId="0" fontId="21" fillId="0" borderId="0" xfId="0" applyFont="1" applyFill="1" applyAlignment="1" applyProtection="1">
      <alignment wrapText="1" shrinkToFit="1"/>
    </xf>
    <xf numFmtId="0" fontId="13" fillId="0" borderId="0" xfId="0" applyFont="1" applyFill="1" applyAlignment="1" applyProtection="1">
      <alignment wrapText="1" shrinkToFit="1"/>
    </xf>
    <xf numFmtId="0" fontId="13" fillId="0" borderId="0" xfId="0" applyNumberFormat="1" applyFont="1" applyFill="1" applyBorder="1" applyAlignment="1" applyProtection="1">
      <alignment horizontal="center"/>
      <protection locked="0"/>
    </xf>
    <xf numFmtId="165" fontId="13" fillId="0" borderId="0" xfId="0" applyNumberFormat="1" applyFont="1" applyFill="1" applyBorder="1" applyAlignment="1" applyProtection="1">
      <alignment horizontal="left"/>
      <protection locked="0"/>
    </xf>
    <xf numFmtId="0" fontId="21" fillId="0" borderId="0" xfId="0" applyFont="1" applyFill="1" applyBorder="1" applyAlignment="1" applyProtection="1">
      <alignment wrapText="1" shrinkToFit="1"/>
    </xf>
    <xf numFmtId="0" fontId="21" fillId="0" borderId="0" xfId="0" applyFont="1" applyFill="1" applyBorder="1" applyAlignment="1" applyProtection="1">
      <alignment horizontal="left" wrapText="1" shrinkToFit="1"/>
    </xf>
    <xf numFmtId="49" fontId="13" fillId="0" borderId="0" xfId="0" applyNumberFormat="1" applyFont="1" applyBorder="1" applyAlignment="1" applyProtection="1">
      <alignment horizontal="center"/>
      <protection locked="0"/>
    </xf>
    <xf numFmtId="16" fontId="21" fillId="0" borderId="0" xfId="0" applyNumberFormat="1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left" wrapText="1" shrinkToFit="1"/>
      <protection locked="0"/>
    </xf>
    <xf numFmtId="49" fontId="21" fillId="0" borderId="7" xfId="0" applyNumberFormat="1" applyFont="1" applyFill="1" applyBorder="1" applyAlignment="1" applyProtection="1">
      <alignment horizontal="center" wrapText="1" shrinkToFit="1"/>
      <protection locked="0"/>
    </xf>
    <xf numFmtId="164" fontId="21" fillId="0" borderId="7" xfId="1" applyNumberFormat="1" applyFont="1" applyFill="1" applyBorder="1" applyAlignment="1" applyProtection="1">
      <alignment horizontal="right" wrapText="1" shrinkToFit="1"/>
      <protection locked="0"/>
    </xf>
    <xf numFmtId="164" fontId="21" fillId="2" borderId="1" xfId="0" applyNumberFormat="1" applyFont="1" applyFill="1" applyBorder="1" applyAlignment="1" applyProtection="1">
      <alignment horizontal="center"/>
    </xf>
    <xf numFmtId="164" fontId="21" fillId="0" borderId="7" xfId="1" applyNumberFormat="1" applyFont="1" applyFill="1" applyBorder="1" applyAlignment="1" applyProtection="1">
      <alignment horizontal="right" wrapText="1" shrinkToFit="1"/>
    </xf>
    <xf numFmtId="0" fontId="21" fillId="0" borderId="0" xfId="0" applyFont="1" applyFill="1" applyBorder="1" applyProtection="1"/>
    <xf numFmtId="0" fontId="14" fillId="0" borderId="6" xfId="0" applyFont="1" applyFill="1" applyBorder="1" applyAlignment="1" applyProtection="1">
      <alignment horizontal="center"/>
    </xf>
    <xf numFmtId="164" fontId="14" fillId="0" borderId="6" xfId="0" applyNumberFormat="1" applyFont="1" applyFill="1" applyBorder="1" applyAlignment="1" applyProtection="1">
      <alignment horizontal="center"/>
    </xf>
    <xf numFmtId="0" fontId="21" fillId="0" borderId="0" xfId="0" applyFont="1" applyFill="1" applyProtection="1"/>
    <xf numFmtId="0" fontId="21" fillId="0" borderId="5" xfId="0" applyNumberFormat="1" applyFont="1" applyFill="1" applyBorder="1" applyAlignment="1" applyProtection="1">
      <alignment horizontal="center" wrapText="1" shrinkToFit="1"/>
    </xf>
    <xf numFmtId="164" fontId="21" fillId="0" borderId="5" xfId="1" applyNumberFormat="1" applyFont="1" applyFill="1" applyBorder="1" applyAlignment="1" applyProtection="1">
      <alignment horizontal="right" wrapText="1" shrinkToFit="1"/>
    </xf>
    <xf numFmtId="164" fontId="21" fillId="0" borderId="0" xfId="1" applyNumberFormat="1" applyFont="1" applyFill="1" applyBorder="1" applyAlignment="1" applyProtection="1">
      <alignment horizontal="right" wrapText="1" shrinkToFit="1"/>
    </xf>
    <xf numFmtId="0" fontId="23" fillId="0" borderId="0" xfId="0" applyFont="1" applyBorder="1" applyProtection="1"/>
    <xf numFmtId="0" fontId="24" fillId="0" borderId="0" xfId="0" applyFont="1" applyBorder="1" applyAlignment="1" applyProtection="1"/>
    <xf numFmtId="0" fontId="14" fillId="2" borderId="1" xfId="0" applyFont="1" applyFill="1" applyBorder="1" applyAlignment="1" applyProtection="1">
      <alignment horizontal="center"/>
    </xf>
    <xf numFmtId="164" fontId="14" fillId="2" borderId="1" xfId="0" applyNumberFormat="1" applyFont="1" applyFill="1" applyBorder="1" applyAlignment="1" applyProtection="1">
      <alignment horizontal="center"/>
    </xf>
    <xf numFmtId="0" fontId="23" fillId="0" borderId="0" xfId="0" applyFont="1" applyProtection="1"/>
    <xf numFmtId="0" fontId="14" fillId="4" borderId="1" xfId="0" applyFont="1" applyFill="1" applyBorder="1" applyAlignment="1" applyProtection="1">
      <alignment horizontal="center"/>
    </xf>
    <xf numFmtId="164" fontId="14" fillId="4" borderId="1" xfId="0" applyNumberFormat="1" applyFont="1" applyFill="1" applyBorder="1" applyAlignment="1" applyProtection="1">
      <alignment horizontal="center"/>
    </xf>
    <xf numFmtId="164" fontId="14" fillId="0" borderId="2" xfId="0" applyNumberFormat="1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left" wrapText="1" shrinkToFit="1"/>
      <protection locked="0"/>
    </xf>
    <xf numFmtId="49" fontId="9" fillId="0" borderId="1" xfId="0" applyNumberFormat="1" applyFont="1" applyFill="1" applyBorder="1" applyAlignment="1" applyProtection="1">
      <alignment horizontal="center" wrapText="1" shrinkToFit="1"/>
      <protection locked="0"/>
    </xf>
    <xf numFmtId="164" fontId="9" fillId="0" borderId="1" xfId="1" applyNumberFormat="1" applyFont="1" applyFill="1" applyBorder="1" applyAlignment="1" applyProtection="1">
      <alignment horizontal="right" wrapText="1" shrinkToFit="1"/>
      <protection locked="0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7" fontId="0" fillId="0" borderId="0" xfId="0" applyNumberFormat="1" applyAlignment="1">
      <alignment horizontal="right"/>
    </xf>
    <xf numFmtId="0" fontId="17" fillId="0" borderId="0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/>
    </xf>
    <xf numFmtId="0" fontId="13" fillId="3" borderId="2" xfId="0" applyFont="1" applyFill="1" applyBorder="1" applyAlignment="1" applyProtection="1">
      <alignment horizontal="center"/>
    </xf>
    <xf numFmtId="0" fontId="13" fillId="3" borderId="0" xfId="0" applyFont="1" applyFill="1" applyBorder="1" applyAlignment="1" applyProtection="1">
      <alignment horizontal="center"/>
    </xf>
    <xf numFmtId="0" fontId="10" fillId="0" borderId="0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center" vertical="top" wrapText="1" shrinkToFit="1"/>
      <protection locked="0"/>
    </xf>
    <xf numFmtId="166" fontId="10" fillId="0" borderId="0" xfId="0" applyNumberFormat="1" applyFont="1" applyBorder="1" applyAlignment="1" applyProtection="1">
      <alignment horizontal="center"/>
      <protection locked="0"/>
    </xf>
    <xf numFmtId="166" fontId="10" fillId="0" borderId="3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2" fillId="0" borderId="0" xfId="0" applyFont="1" applyFill="1" applyBorder="1" applyAlignment="1" applyProtection="1">
      <alignment horizontal="center" vertical="top" wrapText="1" shrinkToFit="1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right" vertical="center" indent="2"/>
      <protection locked="0"/>
    </xf>
    <xf numFmtId="0" fontId="14" fillId="0" borderId="0" xfId="0" applyFont="1" applyAlignment="1" applyProtection="1">
      <alignment horizontal="right" vertical="center"/>
    </xf>
  </cellXfs>
  <cellStyles count="2">
    <cellStyle name="Currency" xfId="1" builtinId="4"/>
    <cellStyle name="Normal" xfId="0" builtinId="0"/>
  </cellStyles>
  <dxfs count="18">
    <dxf>
      <numFmt numFmtId="167" formatCode="&quot;$&quot;#,##0.00"/>
    </dxf>
    <dxf>
      <numFmt numFmtId="164" formatCode="_-&quot;$&quot;* #,##0.00_-;\-&quot;$&quot;* #,##0.00_-;_-&quot;$&quot;* &quot;-&quot;??_-;_-@_-"/>
    </dxf>
    <dxf>
      <alignment horizontal="left" relativeIndent="1"/>
    </dxf>
    <dxf>
      <alignment relativeIndent="-1"/>
    </dxf>
    <dxf>
      <alignment relativeIndent="1"/>
    </dxf>
    <dxf>
      <alignment horizontal="right" indent="1"/>
    </dxf>
    <dxf>
      <alignment relativeIndent="1"/>
    </dxf>
    <dxf>
      <alignment relativeIndent="-1"/>
    </dxf>
    <dxf>
      <alignment relativeIndent="-1"/>
    </dxf>
    <dxf>
      <alignment relativeIndent="-1"/>
    </dxf>
    <dxf>
      <alignment relativeIndent="-1"/>
    </dxf>
    <dxf>
      <alignment relativeIndent="1"/>
    </dxf>
    <dxf>
      <alignment horizontal="right" indent="1"/>
    </dxf>
    <dxf>
      <alignment relativeIndent="1"/>
    </dxf>
    <dxf>
      <alignment relativeIndent="-1"/>
    </dxf>
    <dxf>
      <alignment horizontal="left" relativeIndent="1"/>
    </dxf>
    <dxf>
      <numFmt numFmtId="164" formatCode="_-&quot;$&quot;* #,##0.00_-;\-&quot;$&quot;* #,##0.00_-;_-&quot;$&quot;* &quot;-&quot;??_-;_-@_-"/>
    </dxf>
    <dxf>
      <numFmt numFmtId="167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19051</xdr:colOff>
      <xdr:row>0</xdr:row>
      <xdr:rowOff>90498</xdr:rowOff>
    </xdr:from>
    <xdr:to>
      <xdr:col>3</xdr:col>
      <xdr:colOff>2110209</xdr:colOff>
      <xdr:row>7</xdr:row>
      <xdr:rowOff>48681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139" y="90498"/>
          <a:ext cx="5054459" cy="15679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133350</xdr:rowOff>
        </xdr:from>
        <xdr:to>
          <xdr:col>5</xdr:col>
          <xdr:colOff>38100</xdr:colOff>
          <xdr:row>5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2</xdr:row>
          <xdr:rowOff>127000</xdr:rowOff>
        </xdr:from>
        <xdr:to>
          <xdr:col>7</xdr:col>
          <xdr:colOff>527050</xdr:colOff>
          <xdr:row>5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SAVE &amp; 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59766</xdr:colOff>
      <xdr:row>0</xdr:row>
      <xdr:rowOff>232439</xdr:rowOff>
    </xdr:from>
    <xdr:to>
      <xdr:col>8</xdr:col>
      <xdr:colOff>636544</xdr:colOff>
      <xdr:row>7</xdr:row>
      <xdr:rowOff>119529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472" y="232439"/>
          <a:ext cx="5376918" cy="162773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rdan" refreshedDate="43182.423714004632" createdVersion="6" refreshedVersion="6" minRefreshableVersion="3" recordCount="35">
  <cacheSource type="worksheet">
    <worksheetSource ref="J15:K50" sheet="Form"/>
  </cacheSource>
  <cacheFields count="2">
    <cacheField name="GL Account" numFmtId="0">
      <sharedItems count="23">
        <s v=""/>
        <s v="000-100420"/>
        <s v="010 - 401240" u="1"/>
        <s v="011 - 401240" u="1"/>
        <s v="001 - 401210" u="1"/>
        <s v="001 - 401120" u="1"/>
        <s v="002 - 401210" u="1"/>
        <s v="002 - 401120" u="1"/>
        <s v="003 - 401120" u="1"/>
        <s v="101 - 401270" u="1"/>
        <s v="011 - 300610" u="1"/>
        <s v="009 - 401120" u="1"/>
        <s v="001 - 100410" u="1"/>
        <s v="101 - 401300" u="1"/>
        <s v="101 - 401210" u="1"/>
        <s v="005 - 401240" u="1"/>
        <s v="006 - 401240" u="1"/>
        <s v="101 - 401310" u="1"/>
        <s v="010 - 401120" u="1"/>
        <s v="008 - 401240" u="1"/>
        <s v="347 - 401120" u="1"/>
        <s v="009 - 401240" u="1"/>
        <s v="101 - 401240" u="1"/>
      </sharedItems>
    </cacheField>
    <cacheField name="Amount" numFmtId="164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0"/>
    <s v=""/>
  </r>
  <r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C16:D19" firstHeaderRow="1" firstDataRow="1" firstDataCol="1"/>
  <pivotFields count="2">
    <pivotField axis="axisRow" showAll="0">
      <items count="24">
        <item x="0"/>
        <item x="1"/>
        <item m="1" x="12"/>
        <item m="1" x="5"/>
        <item m="1" x="4"/>
        <item m="1" x="7"/>
        <item m="1" x="6"/>
        <item m="1" x="8"/>
        <item m="1" x="15"/>
        <item m="1" x="16"/>
        <item m="1" x="19"/>
        <item m="1" x="11"/>
        <item m="1" x="21"/>
        <item m="1" x="18"/>
        <item m="1" x="2"/>
        <item m="1" x="3"/>
        <item m="1" x="22"/>
        <item m="1" x="17"/>
        <item m="1" x="20"/>
        <item m="1" x="13"/>
        <item m="1" x="10"/>
        <item m="1" x="9"/>
        <item m="1" x="14"/>
        <item t="default"/>
      </items>
    </pivotField>
    <pivotField dataField="1" showAll="0" sumSubtotal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Amount" fld="1" baseField="0" baseItem="0"/>
  </dataFields>
  <formats count="9">
    <format dxfId="17">
      <pivotArea collapsedLevelsAreSubtotals="1" fieldPosition="0">
        <references count="1">
          <reference field="0" count="0"/>
        </references>
      </pivotArea>
    </format>
    <format dxfId="16">
      <pivotArea grandRow="1" outline="0" collapsedLevelsAreSubtotals="1" fieldPosition="0"/>
    </format>
    <format dxfId="15">
      <pivotArea collapsedLevelsAreSubtotals="1" fieldPosition="0">
        <references count="1">
          <reference field="0" count="0"/>
        </references>
      </pivotArea>
    </format>
    <format dxfId="14">
      <pivotArea collapsedLevelsAreSubtotals="1" fieldPosition="0">
        <references count="1">
          <reference field="0" count="0"/>
        </references>
      </pivotArea>
    </format>
    <format dxfId="13">
      <pivotArea collapsedLevelsAreSubtotals="1" fieldPosition="0">
        <references count="1">
          <reference field="0" count="0"/>
        </references>
      </pivotArea>
    </format>
    <format dxfId="12">
      <pivotArea collapsedLevelsAreSubtotals="1" fieldPosition="0">
        <references count="1">
          <reference field="0" count="0"/>
        </references>
      </pivotArea>
    </format>
    <format dxfId="11">
      <pivotArea collapsedLevelsAreSubtotals="1" fieldPosition="0">
        <references count="1">
          <reference field="0" count="0"/>
        </references>
      </pivotArea>
    </format>
    <format dxfId="10">
      <pivotArea collapsedLevelsAreSubtotals="1" fieldPosition="0">
        <references count="1">
          <reference field="0" count="0"/>
        </references>
      </pivotArea>
    </format>
    <format dxfId="9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P53"/>
  <sheetViews>
    <sheetView showGridLines="0" tabSelected="1" view="pageBreakPreview" zoomScale="85" zoomScaleNormal="100" zoomScaleSheetLayoutView="85" workbookViewId="0">
      <selection activeCell="N2" sqref="N2"/>
    </sheetView>
  </sheetViews>
  <sheetFormatPr defaultColWidth="9.1796875" defaultRowHeight="14" x14ac:dyDescent="0.3"/>
  <cols>
    <col min="1" max="1" width="2.54296875" style="24" customWidth="1"/>
    <col min="2" max="2" width="13.453125" style="24" customWidth="1"/>
    <col min="3" max="3" width="31" style="24" customWidth="1"/>
    <col min="4" max="4" width="41.81640625" style="24" bestFit="1" customWidth="1"/>
    <col min="5" max="5" width="42.7265625" style="24" customWidth="1"/>
    <col min="6" max="6" width="22.26953125" style="24" bestFit="1" customWidth="1"/>
    <col min="7" max="8" width="15.7265625" style="24" customWidth="1"/>
    <col min="9" max="9" width="2.7265625" style="24" customWidth="1"/>
    <col min="10" max="10" width="25.54296875" style="24" customWidth="1"/>
    <col min="11" max="12" width="15.7265625" style="24" customWidth="1"/>
    <col min="13" max="13" width="2.81640625" style="24" customWidth="1"/>
    <col min="14" max="14" width="16.7265625" style="24" customWidth="1"/>
    <col min="15" max="15" width="17" style="24" customWidth="1"/>
    <col min="16" max="16" width="38.54296875" style="24" customWidth="1"/>
    <col min="17" max="17" width="16.7265625" style="24" bestFit="1" customWidth="1"/>
    <col min="18" max="18" width="14" style="24" bestFit="1" customWidth="1"/>
    <col min="19" max="19" width="20.81640625" style="24" bestFit="1" customWidth="1"/>
    <col min="20" max="20" width="16.7265625" style="24" bestFit="1" customWidth="1"/>
    <col min="21" max="21" width="14" style="24" customWidth="1"/>
    <col min="22" max="22" width="20.81640625" style="24" bestFit="1" customWidth="1"/>
    <col min="23" max="23" width="16.7265625" style="24" bestFit="1" customWidth="1"/>
    <col min="24" max="24" width="14" style="24" bestFit="1" customWidth="1"/>
    <col min="25" max="25" width="22" style="24" bestFit="1" customWidth="1"/>
    <col min="26" max="26" width="16.7265625" style="24" bestFit="1" customWidth="1"/>
    <col min="27" max="27" width="14" style="24" customWidth="1"/>
    <col min="28" max="28" width="20.81640625" style="24" bestFit="1" customWidth="1"/>
    <col min="29" max="29" width="16.7265625" style="24" bestFit="1" customWidth="1"/>
    <col min="30" max="30" width="14" style="24" bestFit="1" customWidth="1"/>
    <col min="31" max="31" width="20.81640625" style="24" bestFit="1" customWidth="1"/>
    <col min="32" max="32" width="16.7265625" style="24" bestFit="1" customWidth="1"/>
    <col min="33" max="33" width="14" style="24" bestFit="1" customWidth="1"/>
    <col min="34" max="34" width="22" style="24" bestFit="1" customWidth="1"/>
    <col min="35" max="35" width="16.7265625" style="24" bestFit="1" customWidth="1"/>
    <col min="36" max="36" width="14" style="24" bestFit="1" customWidth="1"/>
    <col min="37" max="37" width="20.81640625" style="24" bestFit="1" customWidth="1"/>
    <col min="38" max="38" width="16.7265625" style="24" bestFit="1" customWidth="1"/>
    <col min="39" max="39" width="14" style="24" bestFit="1" customWidth="1"/>
    <col min="40" max="40" width="20.81640625" style="24" bestFit="1" customWidth="1"/>
    <col min="41" max="41" width="16.7265625" style="24" bestFit="1" customWidth="1"/>
    <col min="42" max="42" width="11.26953125" style="24" bestFit="1" customWidth="1"/>
    <col min="43" max="16384" width="9.1796875" style="24"/>
  </cols>
  <sheetData>
    <row r="1" spans="1:42" x14ac:dyDescent="0.3">
      <c r="A1" s="23"/>
      <c r="B1" s="23"/>
      <c r="C1" s="23"/>
      <c r="D1" s="23"/>
      <c r="E1" s="23"/>
      <c r="F1" s="23"/>
      <c r="G1" s="23"/>
      <c r="H1" s="23"/>
    </row>
    <row r="2" spans="1:42" ht="18.75" customHeight="1" x14ac:dyDescent="0.3">
      <c r="A2" s="23"/>
      <c r="B2" s="23"/>
      <c r="C2" s="23"/>
      <c r="D2" s="23"/>
      <c r="E2" s="23"/>
      <c r="F2" s="23"/>
      <c r="G2" s="23"/>
      <c r="H2" s="23"/>
      <c r="J2" s="92"/>
      <c r="K2" s="92"/>
      <c r="L2" s="92"/>
    </row>
    <row r="3" spans="1:42" ht="18.75" customHeight="1" x14ac:dyDescent="0.3">
      <c r="A3" s="23"/>
      <c r="B3" s="23"/>
      <c r="C3" s="23"/>
      <c r="D3" s="23"/>
      <c r="E3" s="23"/>
      <c r="F3" s="23"/>
      <c r="G3" s="23"/>
      <c r="H3" s="23"/>
      <c r="J3" s="92"/>
      <c r="K3" s="92"/>
      <c r="L3" s="92"/>
    </row>
    <row r="4" spans="1:42" ht="18.75" customHeight="1" x14ac:dyDescent="0.65">
      <c r="A4" s="23"/>
      <c r="B4" s="23"/>
      <c r="C4" s="23"/>
      <c r="D4" s="23"/>
      <c r="E4" s="25"/>
      <c r="F4" s="26"/>
      <c r="G4" s="26"/>
      <c r="H4" s="26"/>
      <c r="J4" s="92"/>
      <c r="K4" s="92"/>
      <c r="L4" s="92"/>
    </row>
    <row r="5" spans="1:42" ht="18.75" customHeight="1" x14ac:dyDescent="0.65">
      <c r="A5" s="23"/>
      <c r="B5" s="23"/>
      <c r="C5" s="23"/>
      <c r="D5" s="23"/>
      <c r="E5" s="25"/>
      <c r="F5" s="26"/>
      <c r="G5" s="26"/>
      <c r="H5" s="26"/>
      <c r="J5" s="92"/>
      <c r="K5" s="92"/>
      <c r="L5" s="92"/>
    </row>
    <row r="6" spans="1:42" ht="18.75" customHeight="1" x14ac:dyDescent="0.65">
      <c r="A6" s="23"/>
      <c r="B6" s="23"/>
      <c r="C6" s="23"/>
      <c r="D6" s="23"/>
      <c r="E6" s="25"/>
      <c r="F6" s="26"/>
      <c r="G6" s="26"/>
      <c r="H6" s="26"/>
      <c r="J6" s="92"/>
      <c r="K6" s="92"/>
      <c r="L6" s="92"/>
    </row>
    <row r="7" spans="1:42" ht="18.75" customHeight="1" x14ac:dyDescent="0.3">
      <c r="A7" s="23"/>
      <c r="B7" s="23"/>
      <c r="C7" s="23"/>
      <c r="D7" s="23"/>
      <c r="E7" s="23"/>
      <c r="F7" s="23"/>
      <c r="G7" s="23"/>
      <c r="H7" s="23"/>
      <c r="J7" s="92"/>
      <c r="K7" s="92"/>
      <c r="L7" s="92"/>
    </row>
    <row r="8" spans="1:42" x14ac:dyDescent="0.3">
      <c r="A8" s="23"/>
      <c r="B8" s="23"/>
      <c r="C8" s="23"/>
      <c r="D8" s="23"/>
      <c r="E8" s="23"/>
      <c r="F8" s="23"/>
      <c r="G8" s="23"/>
      <c r="H8" s="23"/>
    </row>
    <row r="9" spans="1:42" ht="3" customHeight="1" x14ac:dyDescent="0.3">
      <c r="A9" s="23"/>
      <c r="B9" s="81"/>
      <c r="C9" s="82"/>
      <c r="D9" s="82"/>
      <c r="E9" s="82"/>
      <c r="F9" s="82"/>
      <c r="G9" s="82"/>
      <c r="H9" s="82"/>
      <c r="I9" s="82"/>
      <c r="J9" s="82"/>
      <c r="K9" s="82"/>
      <c r="L9" s="82"/>
    </row>
    <row r="10" spans="1:42" x14ac:dyDescent="0.3">
      <c r="A10" s="23"/>
      <c r="B10" s="23"/>
      <c r="C10" s="23"/>
      <c r="D10" s="23"/>
      <c r="E10" s="23"/>
      <c r="F10" s="23"/>
      <c r="G10" s="23"/>
      <c r="H10" s="23"/>
    </row>
    <row r="11" spans="1:42" x14ac:dyDescent="0.3">
      <c r="A11" s="23"/>
      <c r="B11" s="23"/>
      <c r="C11" s="23"/>
      <c r="D11" s="23"/>
      <c r="E11" s="23"/>
      <c r="F11" s="23"/>
      <c r="G11" s="23"/>
      <c r="H11" s="23"/>
    </row>
    <row r="12" spans="1:42" ht="32" x14ac:dyDescent="0.6">
      <c r="A12" s="23"/>
      <c r="B12" s="79" t="s">
        <v>34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P12" s="42"/>
    </row>
    <row r="13" spans="1:42" x14ac:dyDescent="0.3">
      <c r="A13" s="23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P13" s="42"/>
    </row>
    <row r="14" spans="1:42" x14ac:dyDescent="0.3">
      <c r="A14" s="23"/>
      <c r="B14" s="23"/>
      <c r="C14" s="23"/>
      <c r="D14" s="23"/>
      <c r="E14" s="23"/>
      <c r="F14" s="23"/>
      <c r="G14" s="23"/>
      <c r="H14" s="23"/>
      <c r="P14" s="42"/>
    </row>
    <row r="15" spans="1:42" s="29" customFormat="1" ht="18.5" x14ac:dyDescent="0.45">
      <c r="A15" s="27"/>
      <c r="B15" s="28" t="s">
        <v>2</v>
      </c>
      <c r="C15" s="28" t="s">
        <v>3</v>
      </c>
      <c r="D15" s="28" t="s">
        <v>4</v>
      </c>
      <c r="E15" s="28" t="s">
        <v>5</v>
      </c>
      <c r="F15" s="28" t="s">
        <v>40</v>
      </c>
      <c r="G15" s="28" t="s">
        <v>52</v>
      </c>
      <c r="H15" s="28" t="s">
        <v>7</v>
      </c>
      <c r="J15" s="30" t="s">
        <v>28</v>
      </c>
      <c r="K15" s="30" t="s">
        <v>6</v>
      </c>
      <c r="L15" s="30" t="s">
        <v>0</v>
      </c>
      <c r="N15" s="31"/>
      <c r="O15" s="32"/>
      <c r="P15" s="42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</row>
    <row r="16" spans="1:42" ht="18.75" customHeight="1" x14ac:dyDescent="0.35">
      <c r="A16" s="23"/>
      <c r="B16" s="33"/>
      <c r="C16" s="34"/>
      <c r="D16" s="34"/>
      <c r="E16" s="34"/>
      <c r="F16" s="35"/>
      <c r="G16" s="74"/>
      <c r="H16" s="36">
        <f>(0.15/1.15)*G16</f>
        <v>0</v>
      </c>
      <c r="I16" s="37"/>
      <c r="J16" s="38" t="str">
        <f>IF(D16= "__________________",CONCATENATE(F16," - ___________"),IF(D16="","",IF(F16="","",CONCATENATE(F16," - ",LOOKUP(D16,Summary!$N$16:$N$48,Summary!$M$16:$M$48)))))</f>
        <v/>
      </c>
      <c r="K16" s="39" t="str">
        <f t="shared" ref="K16:K49" si="0">IF(D16="","", IF(F16="","", G16-L16))</f>
        <v/>
      </c>
      <c r="L16" s="39" t="str">
        <f>IF(D16="","", IF(D16="Entertainment", H16/2, H16))</f>
        <v/>
      </c>
      <c r="N16" s="40"/>
      <c r="O16" s="41"/>
      <c r="P16" s="42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</row>
    <row r="17" spans="1:42" s="45" customFormat="1" ht="18.75" customHeight="1" x14ac:dyDescent="0.35">
      <c r="A17" s="43"/>
      <c r="B17" s="33"/>
      <c r="C17" s="34"/>
      <c r="D17" s="34"/>
      <c r="E17" s="34"/>
      <c r="F17" s="35"/>
      <c r="G17" s="74"/>
      <c r="H17" s="36">
        <f t="shared" ref="H17:H49" si="1">(0.15/1.15)*G17</f>
        <v>0</v>
      </c>
      <c r="I17" s="44"/>
      <c r="J17" s="38" t="str">
        <f>IF(D17= "__________________",CONCATENATE(F17," - ___________"),IF(D17="","",IF(F17="","",CONCATENATE(F17," - ",LOOKUP(D17,Summary!$N$16:$N$48,Summary!$M$16:$M$48)))))</f>
        <v/>
      </c>
      <c r="K17" s="39" t="str">
        <f t="shared" si="0"/>
        <v/>
      </c>
      <c r="L17" s="39" t="str">
        <f t="shared" ref="L17:L49" si="2">IF(D17="","", IF(D17="Entertainment", H17/2, H17))</f>
        <v/>
      </c>
      <c r="N17" s="40"/>
      <c r="O17" s="41"/>
      <c r="P17" s="42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</row>
    <row r="18" spans="1:42" s="45" customFormat="1" ht="18.75" customHeight="1" x14ac:dyDescent="0.35">
      <c r="A18" s="43"/>
      <c r="B18" s="33"/>
      <c r="C18" s="34"/>
      <c r="D18" s="34"/>
      <c r="E18" s="34"/>
      <c r="F18" s="35"/>
      <c r="G18" s="74"/>
      <c r="H18" s="36">
        <f t="shared" ref="H18:H21" si="3">(0.15/1.15)*G18</f>
        <v>0</v>
      </c>
      <c r="I18" s="44"/>
      <c r="J18" s="38" t="str">
        <f>IF(D18= "__________________",CONCATENATE(F18," - ___________"),IF(D18="","",IF(F18="","",CONCATENATE(F18," - ",LOOKUP(D18,Summary!$N$16:$N$48,Summary!$M$16:$M$48)))))</f>
        <v/>
      </c>
      <c r="K18" s="39" t="str">
        <f t="shared" si="0"/>
        <v/>
      </c>
      <c r="L18" s="39" t="str">
        <f t="shared" si="2"/>
        <v/>
      </c>
      <c r="N18" s="40"/>
      <c r="O18" s="41"/>
      <c r="P18" s="42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</row>
    <row r="19" spans="1:42" s="45" customFormat="1" ht="18.75" customHeight="1" x14ac:dyDescent="0.3">
      <c r="A19" s="43"/>
      <c r="B19" s="33"/>
      <c r="C19" s="34"/>
      <c r="D19" s="34"/>
      <c r="E19" s="34"/>
      <c r="F19" s="35"/>
      <c r="G19" s="74"/>
      <c r="H19" s="36">
        <f t="shared" si="3"/>
        <v>0</v>
      </c>
      <c r="I19" s="44"/>
      <c r="J19" s="38" t="str">
        <f>IF(D19= "__________________",CONCATENATE(F19," - ___________"),IF(D19="","",IF(F19="","",CONCATENATE(F19," - ",LOOKUP(D19,Summary!$N$16:$N$48,Summary!$M$16:$M$48)))))</f>
        <v/>
      </c>
      <c r="K19" s="39" t="str">
        <f>IF(D19="","", IF(F19="","", G19-L19))</f>
        <v/>
      </c>
      <c r="L19" s="39" t="str">
        <f t="shared" si="2"/>
        <v/>
      </c>
      <c r="O19" s="41"/>
      <c r="P19" s="42"/>
    </row>
    <row r="20" spans="1:42" s="45" customFormat="1" ht="18.75" customHeight="1" x14ac:dyDescent="0.3">
      <c r="A20" s="43"/>
      <c r="B20" s="33"/>
      <c r="C20" s="34"/>
      <c r="D20" s="34"/>
      <c r="E20" s="34"/>
      <c r="F20" s="73"/>
      <c r="G20" s="74"/>
      <c r="H20" s="36">
        <f t="shared" si="3"/>
        <v>0</v>
      </c>
      <c r="I20" s="44"/>
      <c r="J20" s="38" t="str">
        <f>IF(D20= "__________________",CONCATENATE(F20," - ___________"),IF(D20="","",IF(F20="","",CONCATENATE(F20," - ",LOOKUP(D20,Summary!$N$16:$N$48,Summary!$M$16:$M$48)))))</f>
        <v/>
      </c>
      <c r="K20" s="39" t="str">
        <f t="shared" si="0"/>
        <v/>
      </c>
      <c r="L20" s="39" t="str">
        <f t="shared" si="2"/>
        <v/>
      </c>
      <c r="O20" s="41"/>
      <c r="P20" s="42"/>
    </row>
    <row r="21" spans="1:42" s="45" customFormat="1" ht="18.75" customHeight="1" x14ac:dyDescent="0.3">
      <c r="A21" s="43"/>
      <c r="B21" s="33"/>
      <c r="C21" s="34"/>
      <c r="D21" s="34"/>
      <c r="E21" s="34"/>
      <c r="F21" s="35"/>
      <c r="G21" s="74"/>
      <c r="H21" s="36">
        <f t="shared" si="3"/>
        <v>0</v>
      </c>
      <c r="I21" s="44"/>
      <c r="J21" s="38" t="str">
        <f>IF(D21= "__________________",CONCATENATE(F21," - ___________"),IF(D21="","",IF(F21="","",CONCATENATE(F21," - ",LOOKUP(D21,Summary!$N$16:$N$48,Summary!$M$16:$M$48)))))</f>
        <v/>
      </c>
      <c r="K21" s="39" t="str">
        <f t="shared" si="0"/>
        <v/>
      </c>
      <c r="L21" s="39" t="str">
        <f t="shared" si="2"/>
        <v/>
      </c>
      <c r="O21" s="41"/>
      <c r="P21" s="42"/>
    </row>
    <row r="22" spans="1:42" s="45" customFormat="1" ht="18.75" customHeight="1" x14ac:dyDescent="0.3">
      <c r="A22" s="43"/>
      <c r="B22" s="33"/>
      <c r="C22" s="72"/>
      <c r="D22" s="34"/>
      <c r="E22" s="72"/>
      <c r="F22" s="73"/>
      <c r="G22" s="74"/>
      <c r="H22" s="36">
        <f t="shared" ref="H22:H24" si="4">(0.15/1.15)*G22</f>
        <v>0</v>
      </c>
      <c r="I22" s="44"/>
      <c r="J22" s="38" t="str">
        <f>IF(D22= "__________________",CONCATENATE(F22," - ___________"),IF(D22="","",IF(F22="","",CONCATENATE(F22," - ",LOOKUP(D22,Summary!$N$16:$N$48,Summary!$M$16:$M$48)))))</f>
        <v/>
      </c>
      <c r="K22" s="39" t="str">
        <f t="shared" si="0"/>
        <v/>
      </c>
      <c r="L22" s="39" t="str">
        <f t="shared" si="2"/>
        <v/>
      </c>
      <c r="O22" s="41"/>
      <c r="P22" s="42"/>
    </row>
    <row r="23" spans="1:42" s="45" customFormat="1" ht="18.75" customHeight="1" x14ac:dyDescent="0.3">
      <c r="A23" s="43"/>
      <c r="B23" s="33"/>
      <c r="C23" s="72"/>
      <c r="D23" s="34"/>
      <c r="E23" s="72"/>
      <c r="F23" s="73"/>
      <c r="G23" s="74"/>
      <c r="H23" s="36">
        <f t="shared" si="4"/>
        <v>0</v>
      </c>
      <c r="I23" s="44"/>
      <c r="J23" s="38" t="str">
        <f>IF(D23= "__________________",CONCATENATE(F23," - ___________"),IF(D23="","",IF(F23="","",CONCATENATE(F23," - ",LOOKUP(D23,Summary!$N$16:$N$48,Summary!$M$16:$M$48)))))</f>
        <v/>
      </c>
      <c r="K23" s="39" t="str">
        <f t="shared" si="0"/>
        <v/>
      </c>
      <c r="L23" s="39" t="str">
        <f t="shared" si="2"/>
        <v/>
      </c>
      <c r="O23" s="41"/>
      <c r="P23" s="42"/>
    </row>
    <row r="24" spans="1:42" s="45" customFormat="1" ht="18.75" customHeight="1" x14ac:dyDescent="0.3">
      <c r="A24" s="43"/>
      <c r="B24" s="33"/>
      <c r="C24" s="72"/>
      <c r="D24" s="34"/>
      <c r="E24" s="72"/>
      <c r="F24" s="73"/>
      <c r="G24" s="74"/>
      <c r="H24" s="36">
        <f t="shared" si="4"/>
        <v>0</v>
      </c>
      <c r="I24" s="44"/>
      <c r="J24" s="38" t="str">
        <f>IF(D24= "__________________",CONCATENATE(F24," - ___________"),IF(D24="","",IF(F24="","",CONCATENATE(F24," - ",LOOKUP(D24,Summary!$N$16:$N$48,Summary!$M$16:$M$48)))))</f>
        <v/>
      </c>
      <c r="K24" s="39" t="str">
        <f t="shared" si="0"/>
        <v/>
      </c>
      <c r="L24" s="39" t="str">
        <f t="shared" si="2"/>
        <v/>
      </c>
      <c r="O24" s="41"/>
      <c r="P24" s="42"/>
    </row>
    <row r="25" spans="1:42" s="45" customFormat="1" ht="18.75" customHeight="1" x14ac:dyDescent="0.3">
      <c r="A25" s="43"/>
      <c r="B25" s="33"/>
      <c r="C25" s="72"/>
      <c r="D25" s="34"/>
      <c r="E25" s="72"/>
      <c r="F25" s="73"/>
      <c r="G25" s="74"/>
      <c r="H25" s="36">
        <f t="shared" si="1"/>
        <v>0</v>
      </c>
      <c r="I25" s="44"/>
      <c r="J25" s="38" t="str">
        <f>IF(D25= "__________________",CONCATENATE(F25," - ___________"),IF(D25="","",IF(F25="","",CONCATENATE(F25," - ",LOOKUP(D25,Summary!$N$16:$N$48,Summary!$M$16:$M$48)))))</f>
        <v/>
      </c>
      <c r="K25" s="39" t="str">
        <f t="shared" si="0"/>
        <v/>
      </c>
      <c r="L25" s="39" t="str">
        <f t="shared" si="2"/>
        <v/>
      </c>
      <c r="O25" s="41"/>
      <c r="P25" s="47"/>
    </row>
    <row r="26" spans="1:42" s="45" customFormat="1" ht="18.75" customHeight="1" x14ac:dyDescent="0.3">
      <c r="A26" s="43"/>
      <c r="B26" s="33"/>
      <c r="C26" s="72"/>
      <c r="D26" s="34"/>
      <c r="E26" s="72"/>
      <c r="F26" s="73"/>
      <c r="G26" s="74"/>
      <c r="H26" s="36">
        <f t="shared" si="1"/>
        <v>0</v>
      </c>
      <c r="I26" s="44"/>
      <c r="J26" s="38" t="str">
        <f>IF(D26= "__________________",CONCATENATE(F26," - ___________"),IF(D26="","",IF(F26="","",CONCATENATE(F26," - ",LOOKUP(D26,Summary!$N$16:$N$48,Summary!$M$16:$M$48)))))</f>
        <v/>
      </c>
      <c r="K26" s="39" t="str">
        <f t="shared" si="0"/>
        <v/>
      </c>
      <c r="L26" s="39" t="str">
        <f t="shared" si="2"/>
        <v/>
      </c>
      <c r="O26" s="41"/>
      <c r="P26" s="42"/>
    </row>
    <row r="27" spans="1:42" s="45" customFormat="1" ht="18.75" customHeight="1" x14ac:dyDescent="0.3">
      <c r="A27" s="43"/>
      <c r="B27" s="33"/>
      <c r="C27" s="72"/>
      <c r="D27" s="34"/>
      <c r="E27" s="72"/>
      <c r="F27" s="73"/>
      <c r="G27" s="74"/>
      <c r="H27" s="36">
        <f t="shared" si="1"/>
        <v>0</v>
      </c>
      <c r="I27" s="44"/>
      <c r="J27" s="38" t="str">
        <f>IF(D27= "__________________",CONCATENATE(F27," - ___________"),IF(D27="","",IF(F27="","",CONCATENATE(F27," - ",LOOKUP(D27,Summary!$N$16:$N$48,Summary!$M$16:$M$48)))))</f>
        <v/>
      </c>
      <c r="K27" s="39" t="str">
        <f t="shared" si="0"/>
        <v/>
      </c>
      <c r="L27" s="39" t="str">
        <f t="shared" si="2"/>
        <v/>
      </c>
      <c r="O27" s="41"/>
      <c r="P27" s="47"/>
    </row>
    <row r="28" spans="1:42" s="45" customFormat="1" ht="18.75" customHeight="1" x14ac:dyDescent="0.3">
      <c r="A28" s="43"/>
      <c r="B28" s="33"/>
      <c r="C28" s="72"/>
      <c r="D28" s="34"/>
      <c r="E28" s="72"/>
      <c r="F28" s="73"/>
      <c r="G28" s="36"/>
      <c r="H28" s="36">
        <f t="shared" si="1"/>
        <v>0</v>
      </c>
      <c r="I28" s="44"/>
      <c r="J28" s="38" t="str">
        <f>IF(D28= "__________________",CONCATENATE(F28," - ___________"),IF(D28="","",IF(F28="","",CONCATENATE(F28," - ",LOOKUP(D28,Summary!$N$16:$N$48,Summary!$M$16:$M$48)))))</f>
        <v/>
      </c>
      <c r="K28" s="39" t="str">
        <f t="shared" si="0"/>
        <v/>
      </c>
      <c r="L28" s="39" t="str">
        <f t="shared" si="2"/>
        <v/>
      </c>
      <c r="O28" s="41"/>
      <c r="P28" s="42"/>
    </row>
    <row r="29" spans="1:42" s="45" customFormat="1" ht="18.75" customHeight="1" x14ac:dyDescent="0.3">
      <c r="A29" s="43"/>
      <c r="B29" s="33"/>
      <c r="C29" s="72"/>
      <c r="D29" s="34"/>
      <c r="E29" s="72"/>
      <c r="F29" s="73"/>
      <c r="G29" s="74"/>
      <c r="H29" s="36">
        <f t="shared" si="1"/>
        <v>0</v>
      </c>
      <c r="I29" s="44"/>
      <c r="J29" s="38" t="str">
        <f>IF(D29= "__________________",CONCATENATE(F29," - ___________"),IF(D29="","",IF(F29="","",CONCATENATE(F29," - ",LOOKUP(D29,Summary!$N$16:$N$48,Summary!$M$16:$M$48)))))</f>
        <v/>
      </c>
      <c r="K29" s="39" t="str">
        <f t="shared" si="0"/>
        <v/>
      </c>
      <c r="L29" s="39" t="str">
        <f t="shared" si="2"/>
        <v/>
      </c>
      <c r="O29" s="46"/>
      <c r="P29" s="42"/>
    </row>
    <row r="30" spans="1:42" s="45" customFormat="1" ht="18.75" customHeight="1" x14ac:dyDescent="0.3">
      <c r="A30" s="43"/>
      <c r="B30" s="33"/>
      <c r="C30" s="34"/>
      <c r="D30" s="34"/>
      <c r="E30" s="34"/>
      <c r="F30" s="35"/>
      <c r="G30" s="74"/>
      <c r="H30" s="36">
        <f t="shared" si="1"/>
        <v>0</v>
      </c>
      <c r="I30" s="44"/>
      <c r="J30" s="38" t="str">
        <f>IF(D30= "__________________",CONCATENATE(F30," - ___________"),IF(D30="","",IF(F30="","",CONCATENATE(F30," - ",LOOKUP(D30,Summary!$N$16:$N$48,Summary!$M$16:$M$48)))))</f>
        <v/>
      </c>
      <c r="K30" s="39" t="str">
        <f>IF(D30="","", IF(F30="","", G30-L30))</f>
        <v/>
      </c>
      <c r="L30" s="39" t="str">
        <f t="shared" si="2"/>
        <v/>
      </c>
      <c r="O30" s="41"/>
      <c r="P30" s="42"/>
    </row>
    <row r="31" spans="1:42" s="45" customFormat="1" ht="18.75" customHeight="1" x14ac:dyDescent="0.3">
      <c r="A31" s="43"/>
      <c r="B31" s="33"/>
      <c r="C31" s="34"/>
      <c r="D31" s="34"/>
      <c r="E31" s="34"/>
      <c r="F31" s="35"/>
      <c r="G31" s="74"/>
      <c r="H31" s="36">
        <f t="shared" si="1"/>
        <v>0</v>
      </c>
      <c r="I31" s="44"/>
      <c r="J31" s="38" t="str">
        <f>IF(D31= "__________________",CONCATENATE(F31," - ___________"),IF(D31="","",IF(F31="","",CONCATENATE(F31," - ",LOOKUP(D31,Summary!$N$16:$N$48,Summary!$M$16:$M$48)))))</f>
        <v/>
      </c>
      <c r="K31" s="39" t="str">
        <f t="shared" si="0"/>
        <v/>
      </c>
      <c r="L31" s="39" t="str">
        <f t="shared" si="2"/>
        <v/>
      </c>
      <c r="O31" s="46"/>
      <c r="P31" s="42"/>
    </row>
    <row r="32" spans="1:42" s="45" customFormat="1" ht="18.75" customHeight="1" x14ac:dyDescent="0.3">
      <c r="A32" s="43"/>
      <c r="B32" s="33"/>
      <c r="C32" s="34"/>
      <c r="D32" s="34"/>
      <c r="E32" s="34"/>
      <c r="F32" s="35"/>
      <c r="G32" s="74"/>
      <c r="H32" s="36">
        <f t="shared" si="1"/>
        <v>0</v>
      </c>
      <c r="I32" s="44"/>
      <c r="J32" s="38" t="str">
        <f>IF(D32= "__________________",CONCATENATE(F32," - ___________"),IF(D32="","",IF(F32="","",CONCATENATE(F32," - ",LOOKUP(D32,Summary!$N$16:$N$48,Summary!$M$16:$M$48)))))</f>
        <v/>
      </c>
      <c r="K32" s="39" t="str">
        <f t="shared" si="0"/>
        <v/>
      </c>
      <c r="L32" s="39" t="str">
        <f t="shared" si="2"/>
        <v/>
      </c>
      <c r="O32" s="41"/>
      <c r="P32" s="42"/>
    </row>
    <row r="33" spans="1:16" s="45" customFormat="1" ht="18.75" customHeight="1" x14ac:dyDescent="0.3">
      <c r="A33" s="43"/>
      <c r="B33" s="33"/>
      <c r="C33" s="34"/>
      <c r="D33" s="34"/>
      <c r="E33" s="34"/>
      <c r="F33" s="35"/>
      <c r="G33" s="74"/>
      <c r="H33" s="36">
        <f t="shared" si="1"/>
        <v>0</v>
      </c>
      <c r="I33" s="44"/>
      <c r="J33" s="38" t="str">
        <f>IF(D33= "__________________",CONCATENATE(F33," - ___________"),IF(D33="","",IF(F33="","",CONCATENATE(F33," - ",LOOKUP(D33,Summary!$N$16:$N$48,Summary!$M$16:$M$48)))))</f>
        <v/>
      </c>
      <c r="K33" s="39" t="str">
        <f t="shared" si="0"/>
        <v/>
      </c>
      <c r="L33" s="39" t="str">
        <f t="shared" si="2"/>
        <v/>
      </c>
      <c r="O33" s="41"/>
      <c r="P33" s="42"/>
    </row>
    <row r="34" spans="1:16" s="45" customFormat="1" ht="18.75" customHeight="1" x14ac:dyDescent="0.3">
      <c r="A34" s="43"/>
      <c r="B34" s="33"/>
      <c r="C34" s="34"/>
      <c r="D34" s="34"/>
      <c r="E34" s="34"/>
      <c r="F34" s="73"/>
      <c r="G34" s="74"/>
      <c r="H34" s="36">
        <f t="shared" si="1"/>
        <v>0</v>
      </c>
      <c r="I34" s="44"/>
      <c r="J34" s="38" t="str">
        <f>IF(D34= "__________________",CONCATENATE(F34," - ___________"),IF(D34="","",IF(F34="","",CONCATENATE(F34," - ",LOOKUP(D34,Summary!$N$16:$N$48,Summary!$M$16:$M$48)))))</f>
        <v/>
      </c>
      <c r="K34" s="39" t="str">
        <f t="shared" si="0"/>
        <v/>
      </c>
      <c r="L34" s="39" t="str">
        <f t="shared" si="2"/>
        <v/>
      </c>
      <c r="O34" s="41"/>
      <c r="P34" s="42"/>
    </row>
    <row r="35" spans="1:16" s="45" customFormat="1" ht="18.75" customHeight="1" x14ac:dyDescent="0.3">
      <c r="A35" s="43"/>
      <c r="B35" s="33"/>
      <c r="C35" s="34"/>
      <c r="D35" s="34"/>
      <c r="E35" s="34"/>
      <c r="F35" s="35"/>
      <c r="G35" s="74"/>
      <c r="H35" s="36">
        <f t="shared" si="1"/>
        <v>0</v>
      </c>
      <c r="I35" s="48"/>
      <c r="J35" s="38" t="str">
        <f>IF(D35= "__________________",CONCATENATE(F35," - ___________"),IF(D35="","",IF(F35="","",CONCATENATE(F35," - ",LOOKUP(D35,Summary!$N$16:$N$48,Summary!$M$16:$M$48)))))</f>
        <v/>
      </c>
      <c r="K35" s="39" t="str">
        <f t="shared" si="0"/>
        <v/>
      </c>
      <c r="L35" s="39" t="str">
        <f t="shared" si="2"/>
        <v/>
      </c>
      <c r="O35" s="41"/>
      <c r="P35" s="42"/>
    </row>
    <row r="36" spans="1:16" s="45" customFormat="1" ht="18.75" customHeight="1" x14ac:dyDescent="0.3">
      <c r="A36" s="43"/>
      <c r="B36" s="33"/>
      <c r="C36" s="72"/>
      <c r="D36" s="72"/>
      <c r="E36" s="72"/>
      <c r="F36" s="73"/>
      <c r="G36" s="36"/>
      <c r="H36" s="36">
        <f t="shared" si="1"/>
        <v>0</v>
      </c>
      <c r="I36" s="48"/>
      <c r="J36" s="38" t="str">
        <f>IF(D36= "__________________",CONCATENATE(F36," - ___________"),IF(D36="","",IF(F36="","",CONCATENATE(F36," - ",LOOKUP(D36,Summary!$N$16:$N$48,Summary!$M$16:$M$48)))))</f>
        <v/>
      </c>
      <c r="K36" s="39" t="str">
        <f t="shared" si="0"/>
        <v/>
      </c>
      <c r="L36" s="39" t="str">
        <f t="shared" si="2"/>
        <v/>
      </c>
      <c r="O36" s="41"/>
      <c r="P36" s="42"/>
    </row>
    <row r="37" spans="1:16" s="45" customFormat="1" ht="18.75" customHeight="1" x14ac:dyDescent="0.3">
      <c r="A37" s="43"/>
      <c r="B37" s="33"/>
      <c r="C37" s="72"/>
      <c r="D37" s="72"/>
      <c r="E37" s="72"/>
      <c r="F37" s="73"/>
      <c r="G37" s="36"/>
      <c r="H37" s="36">
        <f t="shared" si="1"/>
        <v>0</v>
      </c>
      <c r="I37" s="48"/>
      <c r="J37" s="38" t="str">
        <f>IF(D37= "__________________",CONCATENATE(F37," - ___________"),IF(D37="","",IF(F37="","",CONCATENATE(F37," - ",LOOKUP(D37,Summary!$N$16:$N$48,Summary!$M$16:$M$48)))))</f>
        <v/>
      </c>
      <c r="K37" s="39" t="str">
        <f t="shared" si="0"/>
        <v/>
      </c>
      <c r="L37" s="39" t="str">
        <f t="shared" si="2"/>
        <v/>
      </c>
      <c r="O37" s="41"/>
      <c r="P37" s="42"/>
    </row>
    <row r="38" spans="1:16" s="45" customFormat="1" ht="18.75" customHeight="1" x14ac:dyDescent="0.3">
      <c r="A38" s="43"/>
      <c r="B38" s="33"/>
      <c r="C38" s="72"/>
      <c r="D38" s="72"/>
      <c r="E38" s="72"/>
      <c r="F38" s="73"/>
      <c r="G38" s="36"/>
      <c r="H38" s="36">
        <f t="shared" si="1"/>
        <v>0</v>
      </c>
      <c r="I38" s="49"/>
      <c r="J38" s="38" t="str">
        <f>IF(D38= "__________________",CONCATENATE(F38," - ___________"),IF(D38="","",IF(F38="","",CONCATENATE(F38," - ",LOOKUP(D38,Summary!$N$16:$N$48,Summary!$M$16:$M$48)))))</f>
        <v/>
      </c>
      <c r="K38" s="39" t="str">
        <f t="shared" si="0"/>
        <v/>
      </c>
      <c r="L38" s="39" t="str">
        <f t="shared" si="2"/>
        <v/>
      </c>
      <c r="O38" s="41"/>
      <c r="P38" s="42"/>
    </row>
    <row r="39" spans="1:16" s="45" customFormat="1" ht="18.75" customHeight="1" x14ac:dyDescent="0.3">
      <c r="A39" s="43"/>
      <c r="B39" s="33"/>
      <c r="C39" s="34"/>
      <c r="D39" s="34"/>
      <c r="E39" s="34"/>
      <c r="F39" s="73"/>
      <c r="G39" s="36"/>
      <c r="H39" s="36">
        <f t="shared" si="1"/>
        <v>0</v>
      </c>
      <c r="I39" s="48"/>
      <c r="J39" s="38" t="str">
        <f>IF(D39= "__________________",CONCATENATE(F39," - ___________"),IF(D39="","",IF(F39="","",CONCATENATE(F39," - ",LOOKUP(D39,Summary!$N$16:$N$48,Summary!$M$16:$M$48)))))</f>
        <v/>
      </c>
      <c r="K39" s="39" t="str">
        <f t="shared" si="0"/>
        <v/>
      </c>
      <c r="L39" s="39" t="str">
        <f t="shared" si="2"/>
        <v/>
      </c>
      <c r="O39" s="41"/>
      <c r="P39" s="42"/>
    </row>
    <row r="40" spans="1:16" s="45" customFormat="1" ht="18.75" customHeight="1" x14ac:dyDescent="0.3">
      <c r="A40" s="43"/>
      <c r="B40" s="33"/>
      <c r="C40" s="34"/>
      <c r="D40" s="72"/>
      <c r="E40" s="34"/>
      <c r="F40" s="35"/>
      <c r="G40" s="36"/>
      <c r="H40" s="36">
        <f t="shared" si="1"/>
        <v>0</v>
      </c>
      <c r="I40" s="48"/>
      <c r="J40" s="38" t="str">
        <f>IF(D40= "__________________",CONCATENATE(F40," - ___________"),IF(D40="","",IF(F40="","",CONCATENATE(F40," - ",LOOKUP(D40,Summary!$N$16:$N$48,Summary!$M$16:$M$48)))))</f>
        <v/>
      </c>
      <c r="K40" s="39" t="str">
        <f t="shared" si="0"/>
        <v/>
      </c>
      <c r="L40" s="39" t="str">
        <f t="shared" si="2"/>
        <v/>
      </c>
      <c r="O40" s="41"/>
      <c r="P40" s="42"/>
    </row>
    <row r="41" spans="1:16" s="45" customFormat="1" ht="18.75" customHeight="1" x14ac:dyDescent="0.3">
      <c r="A41" s="43"/>
      <c r="B41" s="33"/>
      <c r="C41" s="34"/>
      <c r="D41" s="72"/>
      <c r="E41" s="34"/>
      <c r="F41" s="35"/>
      <c r="G41" s="36"/>
      <c r="H41" s="36">
        <f t="shared" si="1"/>
        <v>0</v>
      </c>
      <c r="I41" s="48"/>
      <c r="J41" s="38" t="str">
        <f>IF(D41= "__________________",CONCATENATE(F41," - ___________"),IF(D41="","",IF(F41="","",CONCATENATE(F41," - ",LOOKUP(D41,Summary!$N$16:$N$48,Summary!$M$16:$M$48)))))</f>
        <v/>
      </c>
      <c r="K41" s="39" t="str">
        <f t="shared" si="0"/>
        <v/>
      </c>
      <c r="L41" s="39" t="str">
        <f t="shared" si="2"/>
        <v/>
      </c>
      <c r="O41" s="41"/>
      <c r="P41" s="42"/>
    </row>
    <row r="42" spans="1:16" s="45" customFormat="1" ht="18.75" customHeight="1" x14ac:dyDescent="0.3">
      <c r="A42" s="43"/>
      <c r="B42" s="33"/>
      <c r="C42" s="34"/>
      <c r="D42" s="72"/>
      <c r="E42" s="34"/>
      <c r="F42" s="35"/>
      <c r="G42" s="36"/>
      <c r="H42" s="36">
        <f t="shared" ref="H42:H44" si="5">(0.15/1.15)*G42</f>
        <v>0</v>
      </c>
      <c r="I42" s="48"/>
      <c r="J42" s="38" t="str">
        <f>IF(D42= "__________________",CONCATENATE(F42," - ___________"),IF(D42="","",IF(F42="","",CONCATENATE(F42," - ",LOOKUP(D42,Summary!$N$16:$N$48,Summary!$M$16:$M$48)))))</f>
        <v/>
      </c>
      <c r="K42" s="39" t="str">
        <f t="shared" si="0"/>
        <v/>
      </c>
      <c r="L42" s="39" t="str">
        <f t="shared" si="2"/>
        <v/>
      </c>
      <c r="O42" s="41"/>
      <c r="P42" s="42"/>
    </row>
    <row r="43" spans="1:16" s="45" customFormat="1" ht="18.75" customHeight="1" x14ac:dyDescent="0.3">
      <c r="A43" s="43"/>
      <c r="B43" s="33"/>
      <c r="C43" s="34"/>
      <c r="D43" s="72"/>
      <c r="E43" s="34"/>
      <c r="F43" s="35"/>
      <c r="G43" s="36"/>
      <c r="H43" s="36">
        <f t="shared" si="5"/>
        <v>0</v>
      </c>
      <c r="I43" s="48"/>
      <c r="J43" s="38" t="str">
        <f>IF(D43= "__________________",CONCATENATE(F43," - ___________"),IF(D43="","",IF(F43="","",CONCATENATE(F43," - ",LOOKUP(D43,Summary!$N$16:$N$48,Summary!$M$16:$M$48)))))</f>
        <v/>
      </c>
      <c r="K43" s="39" t="str">
        <f t="shared" si="0"/>
        <v/>
      </c>
      <c r="L43" s="39" t="str">
        <f t="shared" si="2"/>
        <v/>
      </c>
      <c r="O43" s="41"/>
      <c r="P43" s="42"/>
    </row>
    <row r="44" spans="1:16" s="45" customFormat="1" ht="18.75" customHeight="1" x14ac:dyDescent="0.3">
      <c r="A44" s="43"/>
      <c r="B44" s="33"/>
      <c r="C44" s="34"/>
      <c r="D44" s="72"/>
      <c r="E44" s="34"/>
      <c r="F44" s="35"/>
      <c r="G44" s="36"/>
      <c r="H44" s="36">
        <f t="shared" si="5"/>
        <v>0</v>
      </c>
      <c r="I44" s="48"/>
      <c r="J44" s="38" t="str">
        <f>IF(D44= "__________________",CONCATENATE(F44," - ___________"),IF(D44="","",IF(F44="","",CONCATENATE(F44," - ",LOOKUP(D44,Summary!$N$16:$N$48,Summary!$M$16:$M$48)))))</f>
        <v/>
      </c>
      <c r="K44" s="39" t="str">
        <f t="shared" si="0"/>
        <v/>
      </c>
      <c r="L44" s="39" t="str">
        <f t="shared" si="2"/>
        <v/>
      </c>
      <c r="O44" s="41"/>
    </row>
    <row r="45" spans="1:16" s="45" customFormat="1" ht="18.75" customHeight="1" x14ac:dyDescent="0.3">
      <c r="A45" s="43"/>
      <c r="B45" s="33"/>
      <c r="C45" s="34"/>
      <c r="D45" s="72"/>
      <c r="E45" s="34"/>
      <c r="F45" s="35"/>
      <c r="G45" s="36"/>
      <c r="H45" s="36">
        <f t="shared" ref="H45:H46" si="6">(0.15/1.15)*G45</f>
        <v>0</v>
      </c>
      <c r="I45" s="48"/>
      <c r="J45" s="38" t="str">
        <f>IF(D45= "__________________",CONCATENATE(F45," - ___________"),IF(D45="","",IF(F45="","",CONCATENATE(F45," - ",LOOKUP(D45,Summary!$N$16:$N$48,Summary!$M$16:$M$48)))))</f>
        <v/>
      </c>
      <c r="K45" s="39" t="str">
        <f t="shared" si="0"/>
        <v/>
      </c>
      <c r="L45" s="39" t="str">
        <f t="shared" si="2"/>
        <v/>
      </c>
      <c r="O45" s="41"/>
    </row>
    <row r="46" spans="1:16" s="45" customFormat="1" ht="18.75" customHeight="1" x14ac:dyDescent="0.3">
      <c r="A46" s="43"/>
      <c r="B46" s="33"/>
      <c r="C46" s="34"/>
      <c r="D46" s="72"/>
      <c r="E46" s="34"/>
      <c r="F46" s="35"/>
      <c r="G46" s="36"/>
      <c r="H46" s="36">
        <f t="shared" si="6"/>
        <v>0</v>
      </c>
      <c r="I46" s="44"/>
      <c r="J46" s="38" t="str">
        <f>IF(D46= "__________________",CONCATENATE(F46," - ___________"),IF(D46="","",IF(F46="","",CONCATENATE(F46," - ",LOOKUP(D46,Summary!$N$16:$N$48,Summary!$M$16:$M$48)))))</f>
        <v/>
      </c>
      <c r="K46" s="39" t="str">
        <f t="shared" si="0"/>
        <v/>
      </c>
      <c r="L46" s="39" t="str">
        <f t="shared" si="2"/>
        <v/>
      </c>
      <c r="O46" s="41"/>
    </row>
    <row r="47" spans="1:16" s="45" customFormat="1" ht="18.75" customHeight="1" x14ac:dyDescent="0.3">
      <c r="A47" s="43"/>
      <c r="B47" s="33"/>
      <c r="C47" s="34"/>
      <c r="D47" s="72"/>
      <c r="E47" s="34"/>
      <c r="F47" s="35"/>
      <c r="G47" s="36"/>
      <c r="H47" s="36">
        <f t="shared" si="1"/>
        <v>0</v>
      </c>
      <c r="I47" s="44"/>
      <c r="J47" s="38" t="str">
        <f>IF(D47= "__________________",CONCATENATE(F47," - ___________"),IF(D47="","",IF(F47="","",CONCATENATE(F47," - ",LOOKUP(D47,Summary!$N$16:$N$48,Summary!$M$16:$M$48)))))</f>
        <v/>
      </c>
      <c r="K47" s="39" t="str">
        <f t="shared" si="0"/>
        <v/>
      </c>
      <c r="L47" s="39" t="str">
        <f t="shared" si="2"/>
        <v/>
      </c>
      <c r="O47" s="41"/>
    </row>
    <row r="48" spans="1:16" s="45" customFormat="1" ht="18.75" customHeight="1" x14ac:dyDescent="0.3">
      <c r="A48" s="43"/>
      <c r="B48" s="33"/>
      <c r="C48" s="34"/>
      <c r="D48" s="72"/>
      <c r="E48" s="34"/>
      <c r="F48" s="35"/>
      <c r="G48" s="36"/>
      <c r="H48" s="36">
        <f t="shared" si="1"/>
        <v>0</v>
      </c>
      <c r="I48" s="44"/>
      <c r="J48" s="38" t="str">
        <f>IF(D48= "__________________",CONCATENATE(F48," - ___________"),IF(D48="","",IF(F48="","",CONCATENATE(F48," - ",LOOKUP(D48,Summary!$N$16:$N$48,Summary!$M$16:$M$48)))))</f>
        <v/>
      </c>
      <c r="K48" s="39" t="str">
        <f t="shared" si="0"/>
        <v/>
      </c>
      <c r="L48" s="39" t="str">
        <f t="shared" si="2"/>
        <v/>
      </c>
      <c r="O48" s="50"/>
    </row>
    <row r="49" spans="1:16" s="45" customFormat="1" ht="18.75" customHeight="1" x14ac:dyDescent="0.3">
      <c r="A49" s="43"/>
      <c r="B49" s="33"/>
      <c r="C49" s="34"/>
      <c r="D49" s="72"/>
      <c r="E49" s="34"/>
      <c r="F49" s="35"/>
      <c r="G49" s="36"/>
      <c r="H49" s="36">
        <f t="shared" si="1"/>
        <v>0</v>
      </c>
      <c r="I49" s="44"/>
      <c r="J49" s="38" t="str">
        <f>IF(D49= "__________________",CONCATENATE(F49," - ___________"),IF(D49="","",IF(F49="","",CONCATENATE(F49," - ",LOOKUP(D49,Summary!$N$16:$N$48,Summary!$M$16:$M$48)))))</f>
        <v/>
      </c>
      <c r="K49" s="39" t="str">
        <f t="shared" si="0"/>
        <v/>
      </c>
      <c r="L49" s="39" t="str">
        <f t="shared" si="2"/>
        <v/>
      </c>
    </row>
    <row r="50" spans="1:16" s="45" customFormat="1" ht="18.75" customHeight="1" x14ac:dyDescent="0.3">
      <c r="A50" s="43"/>
      <c r="B50" s="51"/>
      <c r="C50" s="52"/>
      <c r="D50" s="52"/>
      <c r="E50" s="52"/>
      <c r="F50" s="53"/>
      <c r="G50" s="54"/>
      <c r="H50" s="54"/>
      <c r="I50" s="44"/>
      <c r="J50" s="38" t="s">
        <v>51</v>
      </c>
      <c r="K50" s="55">
        <f>SUM(L16:L49)</f>
        <v>0</v>
      </c>
      <c r="L50" s="56"/>
    </row>
    <row r="51" spans="1:16" s="60" customFormat="1" ht="6" customHeight="1" x14ac:dyDescent="0.3">
      <c r="A51" s="57"/>
      <c r="B51" s="57"/>
      <c r="C51" s="57"/>
      <c r="D51" s="57"/>
      <c r="E51" s="57"/>
      <c r="F51" s="58"/>
      <c r="G51" s="59"/>
      <c r="H51" s="59"/>
      <c r="J51" s="61"/>
      <c r="K51" s="62"/>
      <c r="L51" s="63" t="str">
        <f t="shared" ref="L51" si="7">IF(D51="","", IF(D51="Entertainment", H51/2, H51))</f>
        <v/>
      </c>
      <c r="O51" s="45"/>
      <c r="P51" s="45"/>
    </row>
    <row r="52" spans="1:16" s="68" customFormat="1" ht="22" x14ac:dyDescent="0.4">
      <c r="A52" s="64"/>
      <c r="B52" s="65"/>
      <c r="C52" s="65"/>
      <c r="D52" s="65"/>
      <c r="E52" s="65"/>
      <c r="F52" s="66" t="s">
        <v>1</v>
      </c>
      <c r="G52" s="67">
        <f>SUM(G16:G51)</f>
        <v>0</v>
      </c>
      <c r="H52" s="67">
        <f>SUM(H16:H51)</f>
        <v>0</v>
      </c>
      <c r="J52" s="69" t="s">
        <v>1</v>
      </c>
      <c r="K52" s="70">
        <f>SUM(K16:K51)</f>
        <v>0</v>
      </c>
      <c r="L52" s="71"/>
      <c r="O52" s="60"/>
      <c r="P52" s="60"/>
    </row>
    <row r="53" spans="1:16" ht="22" x14ac:dyDescent="0.4">
      <c r="O53" s="68"/>
      <c r="P53" s="68"/>
    </row>
  </sheetData>
  <sheetProtection selectLockedCells="1"/>
  <mergeCells count="9">
    <mergeCell ref="B12:L12"/>
    <mergeCell ref="B13:L13"/>
    <mergeCell ref="J6:L6"/>
    <mergeCell ref="J7:L7"/>
    <mergeCell ref="J2:L2"/>
    <mergeCell ref="J3:L3"/>
    <mergeCell ref="J4:L4"/>
    <mergeCell ref="J5:L5"/>
    <mergeCell ref="B9:L9"/>
  </mergeCells>
  <dataValidations disablePrompts="1" count="1">
    <dataValidation type="list" allowBlank="1" showInputMessage="1" showErrorMessage="1" sqref="D50">
      <formula1>$P$44:$P$48</formula1>
    </dataValidation>
  </dataValidations>
  <pageMargins left="0.70866141732283472" right="0.70866141732283472" top="0.74803149606299213" bottom="0.74803149606299213" header="0.31496062992125984" footer="0.31496062992125984"/>
  <pageSetup scale="49" fitToHeight="0" orientation="landscape" r:id="rId1"/>
  <customProperties>
    <customPr name="LastActive" r:id="rId2"/>
  </customProperties>
  <ignoredErrors>
    <ignoredError sqref="L16:L49 K16:K49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intExpense_Click">
                <anchor moveWithCells="1" sizeWithCells="1">
                  <from>
                    <xdr:col>4</xdr:col>
                    <xdr:colOff>609600</xdr:colOff>
                    <xdr:row>2</xdr:row>
                    <xdr:rowOff>133350</xdr:rowOff>
                  </from>
                  <to>
                    <xdr:col>5</xdr:col>
                    <xdr:colOff>38100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itExpense_Click">
                <anchor moveWithCells="1" sizeWithCells="1">
                  <from>
                    <xdr:col>5</xdr:col>
                    <xdr:colOff>800100</xdr:colOff>
                    <xdr:row>2</xdr:row>
                    <xdr:rowOff>127000</xdr:rowOff>
                  </from>
                  <to>
                    <xdr:col>7</xdr:col>
                    <xdr:colOff>527050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Summary!$N$16:$N$48</xm:f>
          </x14:formula1>
          <xm:sqref>D16:D49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N71"/>
  <sheetViews>
    <sheetView view="pageBreakPreview" zoomScale="130" zoomScaleNormal="70" zoomScaleSheetLayoutView="130" workbookViewId="0">
      <selection activeCell="H2" sqref="H2:I7"/>
    </sheetView>
  </sheetViews>
  <sheetFormatPr defaultColWidth="9.1796875" defaultRowHeight="14" x14ac:dyDescent="0.3"/>
  <cols>
    <col min="1" max="1" width="2.54296875" style="1" customWidth="1"/>
    <col min="2" max="2" width="3.54296875" style="1" customWidth="1"/>
    <col min="3" max="3" width="22.81640625" style="1" customWidth="1"/>
    <col min="4" max="4" width="14.08984375" style="1" bestFit="1" customWidth="1"/>
    <col min="5" max="5" width="8.7265625" style="1" customWidth="1"/>
    <col min="6" max="6" width="13.36328125" style="1" customWidth="1"/>
    <col min="7" max="7" width="7" style="1" customWidth="1"/>
    <col min="8" max="8" width="25.54296875" style="1" customWidth="1"/>
    <col min="9" max="9" width="27.1796875" style="1" customWidth="1"/>
    <col min="10" max="11" width="2.81640625" style="1" customWidth="1"/>
    <col min="12" max="12" width="25.7265625" style="1" customWidth="1"/>
    <col min="13" max="13" width="17" style="24" hidden="1" customWidth="1"/>
    <col min="14" max="14" width="38.54296875" style="24" hidden="1" customWidth="1"/>
    <col min="15" max="15" width="5.7265625" style="1" customWidth="1"/>
    <col min="16" max="19" width="12.81640625" style="1" customWidth="1"/>
    <col min="20" max="20" width="2.81640625" style="1" customWidth="1"/>
    <col min="21" max="16384" width="9.1796875" style="1"/>
  </cols>
  <sheetData>
    <row r="1" spans="1:14" ht="27.75" customHeight="1" x14ac:dyDescent="0.3">
      <c r="A1" s="2"/>
      <c r="B1" s="2"/>
      <c r="C1" s="2"/>
      <c r="D1" s="2"/>
      <c r="E1" s="2"/>
      <c r="F1" s="2"/>
      <c r="G1" s="2"/>
    </row>
    <row r="2" spans="1:14" ht="18.75" customHeight="1" x14ac:dyDescent="0.3">
      <c r="A2" s="2"/>
      <c r="B2" s="2"/>
      <c r="C2" s="2"/>
      <c r="D2" s="2"/>
      <c r="E2" s="2"/>
      <c r="F2" s="2"/>
      <c r="G2" s="2"/>
      <c r="H2" s="91"/>
      <c r="I2" s="91"/>
      <c r="J2" s="12"/>
    </row>
    <row r="3" spans="1:14" ht="18.75" customHeight="1" x14ac:dyDescent="0.3">
      <c r="A3" s="2"/>
      <c r="B3" s="2"/>
      <c r="C3" s="2"/>
      <c r="D3" s="2"/>
      <c r="E3" s="2"/>
      <c r="F3" s="2"/>
      <c r="G3" s="2"/>
      <c r="H3" s="91"/>
      <c r="I3" s="91"/>
      <c r="J3" s="12"/>
    </row>
    <row r="4" spans="1:14" ht="18.75" customHeight="1" x14ac:dyDescent="0.65">
      <c r="A4" s="2"/>
      <c r="B4" s="2"/>
      <c r="C4" s="2"/>
      <c r="D4" s="2"/>
      <c r="E4" s="16"/>
      <c r="F4" s="16"/>
      <c r="G4" s="16"/>
      <c r="H4" s="91"/>
      <c r="I4" s="91"/>
      <c r="J4" s="12"/>
    </row>
    <row r="5" spans="1:14" ht="18.75" customHeight="1" x14ac:dyDescent="0.65">
      <c r="A5" s="2"/>
      <c r="B5" s="2"/>
      <c r="C5" s="2"/>
      <c r="D5" s="2"/>
      <c r="E5" s="16"/>
      <c r="F5" s="16"/>
      <c r="G5" s="16"/>
      <c r="H5" s="91"/>
      <c r="I5" s="91"/>
      <c r="J5" s="12"/>
    </row>
    <row r="6" spans="1:14" ht="18.75" customHeight="1" x14ac:dyDescent="0.65">
      <c r="A6" s="2"/>
      <c r="B6" s="2"/>
      <c r="C6" s="2"/>
      <c r="D6" s="2"/>
      <c r="E6" s="16"/>
      <c r="F6" s="16"/>
      <c r="G6" s="16"/>
      <c r="H6" s="91"/>
      <c r="I6" s="91"/>
      <c r="J6" s="12"/>
    </row>
    <row r="7" spans="1:14" ht="18.75" customHeight="1" x14ac:dyDescent="0.3">
      <c r="A7" s="2"/>
      <c r="B7" s="2"/>
      <c r="C7" s="2"/>
      <c r="D7" s="2"/>
      <c r="E7" s="2"/>
      <c r="F7" s="2"/>
      <c r="G7" s="2"/>
      <c r="H7" s="91"/>
      <c r="I7" s="91"/>
      <c r="J7" s="12"/>
    </row>
    <row r="8" spans="1:14" ht="19.5" customHeight="1" x14ac:dyDescent="0.3">
      <c r="A8" s="2"/>
      <c r="B8" s="2"/>
      <c r="C8" s="2"/>
      <c r="D8" s="2"/>
      <c r="E8" s="2"/>
      <c r="F8" s="2"/>
      <c r="G8" s="2"/>
    </row>
    <row r="9" spans="1:14" ht="3" customHeight="1" x14ac:dyDescent="0.3">
      <c r="A9" s="2"/>
      <c r="B9" s="20"/>
      <c r="C9" s="20"/>
      <c r="D9" s="20"/>
      <c r="E9" s="20"/>
      <c r="F9" s="20"/>
      <c r="G9" s="20"/>
      <c r="H9" s="20"/>
      <c r="I9" s="20"/>
      <c r="J9" s="12" t="s">
        <v>37</v>
      </c>
    </row>
    <row r="10" spans="1:14" x14ac:dyDescent="0.3">
      <c r="A10" s="2"/>
      <c r="B10" s="2"/>
      <c r="C10" s="2"/>
      <c r="D10" s="2"/>
      <c r="E10" s="2"/>
      <c r="F10" s="2"/>
      <c r="G10" s="2"/>
    </row>
    <row r="11" spans="1:14" x14ac:dyDescent="0.3">
      <c r="A11" s="2"/>
      <c r="B11" s="2"/>
      <c r="C11" s="2"/>
      <c r="D11" s="2"/>
      <c r="E11" s="2"/>
      <c r="F11" s="2"/>
      <c r="G11" s="2"/>
    </row>
    <row r="12" spans="1:14" ht="32" x14ac:dyDescent="0.6">
      <c r="A12" s="2"/>
      <c r="B12" s="2"/>
      <c r="C12" s="88" t="s">
        <v>33</v>
      </c>
      <c r="D12" s="88"/>
      <c r="E12" s="88"/>
      <c r="F12" s="88"/>
      <c r="G12" s="88"/>
      <c r="H12" s="88"/>
      <c r="I12" s="88"/>
      <c r="J12" s="19"/>
    </row>
    <row r="13" spans="1:14" x14ac:dyDescent="0.3">
      <c r="A13" s="2"/>
      <c r="B13" s="2"/>
      <c r="C13" s="90"/>
      <c r="D13" s="90"/>
      <c r="E13" s="90"/>
      <c r="F13" s="90"/>
      <c r="G13" s="90"/>
      <c r="H13" s="90"/>
      <c r="I13" s="90"/>
      <c r="J13" s="90"/>
    </row>
    <row r="14" spans="1:14" x14ac:dyDescent="0.3">
      <c r="A14" s="2"/>
      <c r="B14" s="2"/>
      <c r="C14" s="2"/>
      <c r="D14" s="2"/>
      <c r="E14" s="2"/>
      <c r="F14" s="2"/>
      <c r="G14" s="2"/>
    </row>
    <row r="15" spans="1:14" s="14" customFormat="1" ht="20.25" customHeight="1" x14ac:dyDescent="0.35">
      <c r="A15" s="13"/>
      <c r="B15" s="13"/>
      <c r="C15" s="22" t="s">
        <v>29</v>
      </c>
      <c r="D15" s="21">
        <f>Form!G52</f>
        <v>0</v>
      </c>
      <c r="G15" s="83"/>
      <c r="H15" s="83"/>
      <c r="I15" s="83"/>
      <c r="M15" s="32" t="s">
        <v>8</v>
      </c>
      <c r="N15" s="32" t="s">
        <v>55</v>
      </c>
    </row>
    <row r="16" spans="1:14" ht="15" thickBot="1" x14ac:dyDescent="0.4">
      <c r="A16" s="2"/>
      <c r="B16" s="2"/>
      <c r="C16" s="75" t="s">
        <v>56</v>
      </c>
      <c r="D16" t="s">
        <v>58</v>
      </c>
      <c r="E16"/>
      <c r="G16" s="84"/>
      <c r="H16" s="84"/>
      <c r="I16" s="84"/>
      <c r="M16" s="41">
        <v>200503</v>
      </c>
      <c r="N16" s="42" t="s">
        <v>39</v>
      </c>
    </row>
    <row r="17" spans="1:14" s="3" customFormat="1" ht="14.5" x14ac:dyDescent="0.35">
      <c r="A17" s="10"/>
      <c r="B17" s="10"/>
      <c r="C17" s="76"/>
      <c r="D17" s="78">
        <v>0</v>
      </c>
      <c r="E17"/>
      <c r="G17" s="85" t="s">
        <v>30</v>
      </c>
      <c r="H17" s="85"/>
      <c r="I17" s="85"/>
      <c r="M17" s="41">
        <v>401240</v>
      </c>
      <c r="N17" s="42" t="s">
        <v>18</v>
      </c>
    </row>
    <row r="18" spans="1:14" s="3" customFormat="1" ht="14.5" x14ac:dyDescent="0.35">
      <c r="A18" s="10"/>
      <c r="B18" s="10"/>
      <c r="C18" s="76" t="s">
        <v>51</v>
      </c>
      <c r="D18" s="78">
        <v>0</v>
      </c>
      <c r="E18"/>
      <c r="G18" s="89"/>
      <c r="H18" s="89"/>
      <c r="I18" s="10"/>
      <c r="M18" s="41">
        <v>401131</v>
      </c>
      <c r="N18" s="42" t="s">
        <v>12</v>
      </c>
    </row>
    <row r="19" spans="1:14" s="3" customFormat="1" ht="14.5" x14ac:dyDescent="0.35">
      <c r="A19" s="10"/>
      <c r="B19" s="10"/>
      <c r="C19" s="76" t="s">
        <v>57</v>
      </c>
      <c r="D19" s="77">
        <v>0</v>
      </c>
      <c r="E19"/>
      <c r="G19" s="83"/>
      <c r="H19" s="83"/>
      <c r="I19" s="83"/>
      <c r="M19" s="41">
        <v>401270</v>
      </c>
      <c r="N19" s="42" t="s">
        <v>20</v>
      </c>
    </row>
    <row r="20" spans="1:14" s="3" customFormat="1" ht="15" thickBot="1" x14ac:dyDescent="0.4">
      <c r="A20" s="10"/>
      <c r="B20" s="10"/>
      <c r="C20"/>
      <c r="D20"/>
      <c r="E20"/>
      <c r="G20" s="84"/>
      <c r="H20" s="84"/>
      <c r="I20" s="84"/>
      <c r="J20" s="10"/>
      <c r="M20" s="41">
        <v>401290</v>
      </c>
      <c r="N20" s="42" t="s">
        <v>21</v>
      </c>
    </row>
    <row r="21" spans="1:14" s="3" customFormat="1" ht="14.5" x14ac:dyDescent="0.35">
      <c r="A21" s="10"/>
      <c r="B21" s="10"/>
      <c r="C21"/>
      <c r="D21"/>
      <c r="E21"/>
      <c r="G21" s="85" t="s">
        <v>31</v>
      </c>
      <c r="H21" s="85"/>
      <c r="I21" s="85"/>
      <c r="J21" s="10"/>
      <c r="M21" s="41">
        <v>401305</v>
      </c>
      <c r="N21" s="42" t="s">
        <v>24</v>
      </c>
    </row>
    <row r="22" spans="1:14" s="3" customFormat="1" ht="14.5" x14ac:dyDescent="0.35">
      <c r="A22" s="10"/>
      <c r="B22" s="10"/>
      <c r="C22"/>
      <c r="D22"/>
      <c r="E22"/>
      <c r="H22" s="17"/>
      <c r="I22" s="10"/>
      <c r="J22" s="10"/>
      <c r="M22" s="41">
        <v>401140</v>
      </c>
      <c r="N22" s="42" t="s">
        <v>43</v>
      </c>
    </row>
    <row r="23" spans="1:14" s="3" customFormat="1" ht="14.5" x14ac:dyDescent="0.35">
      <c r="A23" s="10"/>
      <c r="B23" s="10"/>
      <c r="C23"/>
      <c r="D23"/>
      <c r="E23"/>
      <c r="G23" s="86">
        <f ca="1">NOW()</f>
        <v>43182.42501979167</v>
      </c>
      <c r="H23" s="86"/>
      <c r="I23" s="86"/>
      <c r="J23" s="10"/>
      <c r="M23" s="41">
        <v>401153</v>
      </c>
      <c r="N23" s="42" t="s">
        <v>44</v>
      </c>
    </row>
    <row r="24" spans="1:14" s="3" customFormat="1" ht="15" thickBot="1" x14ac:dyDescent="0.4">
      <c r="A24" s="10"/>
      <c r="B24" s="10"/>
      <c r="C24"/>
      <c r="D24"/>
      <c r="E24"/>
      <c r="G24" s="87"/>
      <c r="H24" s="87"/>
      <c r="I24" s="87"/>
      <c r="J24" s="10"/>
      <c r="M24" s="41">
        <v>100410</v>
      </c>
      <c r="N24" s="42" t="s">
        <v>38</v>
      </c>
    </row>
    <row r="25" spans="1:14" s="3" customFormat="1" ht="14.5" x14ac:dyDescent="0.35">
      <c r="A25" s="10"/>
      <c r="B25" s="10"/>
      <c r="C25"/>
      <c r="D25"/>
      <c r="E25"/>
      <c r="G25" s="85" t="s">
        <v>2</v>
      </c>
      <c r="H25" s="85"/>
      <c r="I25" s="85"/>
      <c r="J25" s="10"/>
      <c r="M25" s="41">
        <v>401220</v>
      </c>
      <c r="N25" s="42" t="s">
        <v>17</v>
      </c>
    </row>
    <row r="26" spans="1:14" s="3" customFormat="1" ht="14.5" x14ac:dyDescent="0.35">
      <c r="A26" s="10"/>
      <c r="B26" s="10"/>
      <c r="C26"/>
      <c r="D26"/>
      <c r="E26"/>
      <c r="G26" s="15"/>
      <c r="H26" s="17"/>
      <c r="I26" s="17"/>
      <c r="J26" s="17"/>
      <c r="M26" s="41">
        <v>401350</v>
      </c>
      <c r="N26" s="42" t="s">
        <v>26</v>
      </c>
    </row>
    <row r="27" spans="1:14" s="3" customFormat="1" ht="14.5" x14ac:dyDescent="0.35">
      <c r="A27" s="10"/>
      <c r="B27" s="10"/>
      <c r="C27"/>
      <c r="D27"/>
      <c r="E27"/>
      <c r="G27" s="83"/>
      <c r="H27" s="83"/>
      <c r="I27" s="83"/>
      <c r="J27" s="10"/>
      <c r="M27" s="41">
        <v>401355</v>
      </c>
      <c r="N27" s="42" t="s">
        <v>27</v>
      </c>
    </row>
    <row r="28" spans="1:14" s="3" customFormat="1" ht="15" thickBot="1" x14ac:dyDescent="0.4">
      <c r="A28" s="10"/>
      <c r="B28" s="10"/>
      <c r="C28"/>
      <c r="D28"/>
      <c r="E28"/>
      <c r="G28" s="84"/>
      <c r="H28" s="84"/>
      <c r="I28" s="84"/>
      <c r="J28" s="10"/>
      <c r="M28" s="41">
        <v>300610</v>
      </c>
      <c r="N28" s="42" t="s">
        <v>54</v>
      </c>
    </row>
    <row r="29" spans="1:14" s="3" customFormat="1" ht="14.5" x14ac:dyDescent="0.35">
      <c r="A29" s="10"/>
      <c r="B29" s="10"/>
      <c r="C29"/>
      <c r="D29"/>
      <c r="E29"/>
      <c r="G29" s="85" t="s">
        <v>32</v>
      </c>
      <c r="H29" s="85"/>
      <c r="I29" s="85"/>
      <c r="J29" s="10"/>
      <c r="M29" s="46">
        <v>401311</v>
      </c>
      <c r="N29" s="47" t="s">
        <v>50</v>
      </c>
    </row>
    <row r="30" spans="1:14" s="3" customFormat="1" ht="14.5" x14ac:dyDescent="0.35">
      <c r="A30" s="10"/>
      <c r="B30" s="10"/>
      <c r="C30"/>
      <c r="D30"/>
      <c r="E30"/>
      <c r="G30" s="15"/>
      <c r="H30" s="15"/>
      <c r="I30" s="10"/>
      <c r="J30" s="10"/>
      <c r="M30" s="41">
        <v>401310</v>
      </c>
      <c r="N30" s="42" t="s">
        <v>25</v>
      </c>
    </row>
    <row r="31" spans="1:14" s="3" customFormat="1" ht="14.5" x14ac:dyDescent="0.35">
      <c r="A31" s="10"/>
      <c r="B31" s="10"/>
      <c r="C31"/>
      <c r="D31"/>
      <c r="E31"/>
      <c r="G31" s="83"/>
      <c r="H31" s="83"/>
      <c r="I31" s="83"/>
      <c r="J31" s="10"/>
      <c r="M31" s="46">
        <v>401315</v>
      </c>
      <c r="N31" s="47" t="s">
        <v>49</v>
      </c>
    </row>
    <row r="32" spans="1:14" s="3" customFormat="1" ht="15" thickBot="1" x14ac:dyDescent="0.4">
      <c r="A32" s="10"/>
      <c r="B32" s="10"/>
      <c r="C32"/>
      <c r="D32"/>
      <c r="E32"/>
      <c r="G32" s="84"/>
      <c r="H32" s="84"/>
      <c r="I32" s="84"/>
      <c r="J32" s="10"/>
      <c r="M32" s="41">
        <v>401250</v>
      </c>
      <c r="N32" s="42" t="s">
        <v>47</v>
      </c>
    </row>
    <row r="33" spans="1:14" s="3" customFormat="1" ht="14.5" x14ac:dyDescent="0.35">
      <c r="A33" s="10"/>
      <c r="B33" s="10"/>
      <c r="C33"/>
      <c r="D33"/>
      <c r="E33"/>
      <c r="G33" s="85" t="s">
        <v>35</v>
      </c>
      <c r="H33" s="85"/>
      <c r="I33" s="85"/>
      <c r="J33" s="10"/>
      <c r="M33" s="41">
        <v>401262</v>
      </c>
      <c r="N33" s="42" t="s">
        <v>48</v>
      </c>
    </row>
    <row r="34" spans="1:14" s="3" customFormat="1" ht="14.5" x14ac:dyDescent="0.35">
      <c r="A34" s="10"/>
      <c r="B34" s="10"/>
      <c r="C34"/>
      <c r="D34"/>
      <c r="E34" s="9"/>
      <c r="G34" s="15"/>
      <c r="H34" s="15"/>
      <c r="I34" s="10"/>
      <c r="J34" s="10"/>
      <c r="M34" s="41">
        <v>401130</v>
      </c>
      <c r="N34" s="42" t="s">
        <v>11</v>
      </c>
    </row>
    <row r="35" spans="1:14" s="3" customFormat="1" ht="14.5" x14ac:dyDescent="0.35">
      <c r="A35" s="10"/>
      <c r="B35" s="10"/>
      <c r="C35"/>
      <c r="D35"/>
      <c r="E35" s="9"/>
      <c r="G35" s="83"/>
      <c r="H35" s="83"/>
      <c r="I35" s="83"/>
      <c r="M35" s="41">
        <v>401121</v>
      </c>
      <c r="N35" s="42" t="s">
        <v>10</v>
      </c>
    </row>
    <row r="36" spans="1:14" s="3" customFormat="1" ht="15" thickBot="1" x14ac:dyDescent="0.4">
      <c r="A36" s="10"/>
      <c r="B36" s="10"/>
      <c r="C36"/>
      <c r="D36"/>
      <c r="E36" s="9"/>
      <c r="G36" s="84"/>
      <c r="H36" s="84"/>
      <c r="I36" s="84"/>
      <c r="M36" s="41">
        <v>401120</v>
      </c>
      <c r="N36" s="42" t="s">
        <v>9</v>
      </c>
    </row>
    <row r="37" spans="1:14" s="5" customFormat="1" ht="15.5" x14ac:dyDescent="0.35">
      <c r="A37" s="4"/>
      <c r="B37" s="4"/>
      <c r="C37"/>
      <c r="D37"/>
      <c r="E37" s="18"/>
      <c r="G37" s="85" t="s">
        <v>36</v>
      </c>
      <c r="H37" s="85"/>
      <c r="I37" s="85"/>
      <c r="M37" s="41">
        <v>401245</v>
      </c>
      <c r="N37" s="42" t="s">
        <v>46</v>
      </c>
    </row>
    <row r="38" spans="1:14" s="6" customFormat="1" ht="22" x14ac:dyDescent="0.4">
      <c r="A38" s="11"/>
      <c r="B38" s="11"/>
      <c r="C38"/>
      <c r="D38"/>
      <c r="E38" s="7"/>
      <c r="F38" s="8"/>
      <c r="G38" s="1"/>
      <c r="H38" s="1"/>
      <c r="I38" s="1"/>
      <c r="M38" s="41">
        <v>401195</v>
      </c>
      <c r="N38" s="42" t="s">
        <v>14</v>
      </c>
    </row>
    <row r="39" spans="1:14" ht="14.5" x14ac:dyDescent="0.35">
      <c r="C39"/>
      <c r="D39"/>
      <c r="M39" s="41">
        <v>401197</v>
      </c>
      <c r="N39" s="42" t="s">
        <v>15</v>
      </c>
    </row>
    <row r="40" spans="1:14" ht="14.5" x14ac:dyDescent="0.35">
      <c r="C40"/>
      <c r="D40"/>
      <c r="M40" s="41">
        <v>401110</v>
      </c>
      <c r="N40" s="42" t="s">
        <v>41</v>
      </c>
    </row>
    <row r="41" spans="1:14" ht="14.5" x14ac:dyDescent="0.35">
      <c r="C41"/>
      <c r="D41"/>
      <c r="M41" s="41">
        <v>401210</v>
      </c>
      <c r="N41" s="42" t="s">
        <v>16</v>
      </c>
    </row>
    <row r="42" spans="1:14" ht="14.5" x14ac:dyDescent="0.35">
      <c r="C42"/>
      <c r="M42" s="41">
        <v>401295</v>
      </c>
      <c r="N42" s="42" t="s">
        <v>22</v>
      </c>
    </row>
    <row r="43" spans="1:14" ht="14.5" x14ac:dyDescent="0.35">
      <c r="C43"/>
      <c r="M43" s="41">
        <v>401300</v>
      </c>
      <c r="N43" s="42" t="s">
        <v>23</v>
      </c>
    </row>
    <row r="44" spans="1:14" ht="14.5" x14ac:dyDescent="0.35">
      <c r="C44"/>
      <c r="M44" s="41">
        <v>401200</v>
      </c>
      <c r="N44" s="42" t="s">
        <v>45</v>
      </c>
    </row>
    <row r="45" spans="1:14" ht="14.5" x14ac:dyDescent="0.35">
      <c r="C45"/>
      <c r="M45" s="41">
        <v>401180</v>
      </c>
      <c r="N45" s="42" t="s">
        <v>13</v>
      </c>
    </row>
    <row r="46" spans="1:14" ht="14.5" x14ac:dyDescent="0.35">
      <c r="C46"/>
      <c r="M46" s="41">
        <v>401264</v>
      </c>
      <c r="N46" s="42" t="s">
        <v>19</v>
      </c>
    </row>
    <row r="47" spans="1:14" ht="14.5" x14ac:dyDescent="0.35">
      <c r="C47"/>
      <c r="M47" s="41">
        <v>401115</v>
      </c>
      <c r="N47" s="42" t="s">
        <v>42</v>
      </c>
    </row>
    <row r="48" spans="1:14" ht="14.5" x14ac:dyDescent="0.35">
      <c r="C48"/>
      <c r="M48" s="50"/>
      <c r="N48" s="45" t="s">
        <v>53</v>
      </c>
    </row>
    <row r="49" spans="3:14" ht="14.5" x14ac:dyDescent="0.35">
      <c r="C49"/>
      <c r="M49" s="45"/>
      <c r="N49" s="45"/>
    </row>
    <row r="50" spans="3:14" ht="14.5" x14ac:dyDescent="0.35">
      <c r="C50"/>
      <c r="M50" s="45"/>
      <c r="N50" s="45"/>
    </row>
    <row r="51" spans="3:14" ht="14.5" x14ac:dyDescent="0.35">
      <c r="C51"/>
      <c r="M51" s="45"/>
      <c r="N51" s="45"/>
    </row>
    <row r="52" spans="3:14" ht="15.5" x14ac:dyDescent="0.35">
      <c r="C52"/>
      <c r="M52" s="60"/>
      <c r="N52" s="60"/>
    </row>
    <row r="53" spans="3:14" ht="22" x14ac:dyDescent="0.4">
      <c r="C53"/>
      <c r="M53" s="68"/>
      <c r="N53" s="68"/>
    </row>
    <row r="54" spans="3:14" ht="14.5" x14ac:dyDescent="0.35">
      <c r="C54"/>
    </row>
    <row r="55" spans="3:14" ht="14.5" x14ac:dyDescent="0.35">
      <c r="C55"/>
    </row>
    <row r="56" spans="3:14" ht="14.5" x14ac:dyDescent="0.35">
      <c r="C56"/>
    </row>
    <row r="57" spans="3:14" ht="14.5" x14ac:dyDescent="0.35">
      <c r="C57"/>
    </row>
    <row r="58" spans="3:14" ht="14.5" x14ac:dyDescent="0.35">
      <c r="C58"/>
    </row>
    <row r="59" spans="3:14" ht="14.5" x14ac:dyDescent="0.35">
      <c r="C59"/>
    </row>
    <row r="60" spans="3:14" ht="14.5" x14ac:dyDescent="0.35">
      <c r="C60"/>
    </row>
    <row r="61" spans="3:14" ht="14.5" x14ac:dyDescent="0.35">
      <c r="C61"/>
    </row>
    <row r="62" spans="3:14" ht="14.5" x14ac:dyDescent="0.35">
      <c r="C62"/>
    </row>
    <row r="63" spans="3:14" ht="14.5" x14ac:dyDescent="0.35">
      <c r="C63"/>
    </row>
    <row r="64" spans="3:14" ht="14.5" x14ac:dyDescent="0.35">
      <c r="C64"/>
    </row>
    <row r="65" spans="3:3" ht="14.5" x14ac:dyDescent="0.35">
      <c r="C65"/>
    </row>
    <row r="66" spans="3:3" ht="14.5" x14ac:dyDescent="0.35">
      <c r="C66"/>
    </row>
    <row r="67" spans="3:3" ht="14.5" x14ac:dyDescent="0.35">
      <c r="C67"/>
    </row>
    <row r="68" spans="3:3" ht="14.5" x14ac:dyDescent="0.35">
      <c r="C68"/>
    </row>
    <row r="69" spans="3:3" ht="14.5" x14ac:dyDescent="0.35">
      <c r="C69"/>
    </row>
    <row r="70" spans="3:3" ht="14.5" x14ac:dyDescent="0.35">
      <c r="C70"/>
    </row>
    <row r="71" spans="3:3" ht="14.5" x14ac:dyDescent="0.35">
      <c r="C71"/>
    </row>
  </sheetData>
  <mergeCells count="21">
    <mergeCell ref="H2:I2"/>
    <mergeCell ref="C12:I12"/>
    <mergeCell ref="G18:H18"/>
    <mergeCell ref="G19:I20"/>
    <mergeCell ref="C13:J13"/>
    <mergeCell ref="G35:I36"/>
    <mergeCell ref="G37:I37"/>
    <mergeCell ref="G33:I33"/>
    <mergeCell ref="H3:I3"/>
    <mergeCell ref="H4:I4"/>
    <mergeCell ref="H5:I5"/>
    <mergeCell ref="H6:I6"/>
    <mergeCell ref="H7:I7"/>
    <mergeCell ref="G23:I24"/>
    <mergeCell ref="G27:I28"/>
    <mergeCell ref="G21:I21"/>
    <mergeCell ref="G25:I25"/>
    <mergeCell ref="G29:I29"/>
    <mergeCell ref="G31:I32"/>
    <mergeCell ref="G15:I16"/>
    <mergeCell ref="G17:I17"/>
  </mergeCells>
  <pageMargins left="0.7" right="0.7" top="0.75" bottom="0.75" header="0.3" footer="0.3"/>
  <pageSetup scale="70" fitToHeight="0" orientation="portrait" r:id="rId2"/>
  <customProperties>
    <customPr name="LastActive" r:id="rId3"/>
  </customPropertie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</vt:lpstr>
      <vt:lpstr>Summary</vt:lpstr>
      <vt:lpstr>Account_Description</vt:lpstr>
      <vt:lpstr>Account_Number</vt:lpstr>
      <vt:lpstr>Form!Print_Area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cp:lastPrinted>2018-03-21T14:23:39Z</cp:lastPrinted>
  <dcterms:created xsi:type="dcterms:W3CDTF">2015-10-27T16:39:04Z</dcterms:created>
  <dcterms:modified xsi:type="dcterms:W3CDTF">2018-03-23T12:46:35Z</dcterms:modified>
</cp:coreProperties>
</file>